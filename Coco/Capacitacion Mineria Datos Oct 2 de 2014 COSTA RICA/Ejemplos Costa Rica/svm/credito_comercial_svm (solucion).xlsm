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225" windowWidth="5925" windowHeight="7695"/>
  </bookViews>
  <sheets>
    <sheet name="datos de entrenamiento" sheetId="12" r:id="rId1"/>
    <sheet name="datos de prueba" sheetId="13" r:id="rId2"/>
  </sheets>
  <functionGroups builtInGroupCount="17"/>
  <externalReferences>
    <externalReference r:id="rId3"/>
    <externalReference r:id="rId4"/>
  </externalReferences>
  <definedNames>
    <definedName name="act_sucres">#REF!</definedName>
    <definedName name="Activo">[1]Ingreso!#REF!</definedName>
    <definedName name="Activo1">#REF!</definedName>
    <definedName name="Activos">[1]Ingreso!#REF!</definedName>
    <definedName name="adfd">[0]!adfd</definedName>
    <definedName name="adfdsf">[0]!adfdsf</definedName>
    <definedName name="asdfd">[0]!asdfd</definedName>
    <definedName name="Boton_ltrabajo_AlHacerClic">[0]!Boton_ltrabajo_AlHacerClic</definedName>
    <definedName name="Boton_rubro_AlHacerClic">[0]!Boton_rubro_AlHacerClic</definedName>
    <definedName name="Botón5_AlHacerClic">[0]!Botón5_AlHacerClic</definedName>
    <definedName name="Btn_aceptar_ubicacion">[0]!Btn_aceptar_ubicacion</definedName>
    <definedName name="btn_main">[0]!btn_main</definedName>
    <definedName name="btn_main1">[0]!btn_main1</definedName>
    <definedName name="btn_main2">[0]!btn_main2</definedName>
    <definedName name="btn_val_constantes_AlHacerClic">[0]!btn_val_constantes_AlHacerClic</definedName>
    <definedName name="btn_val_cuenta_AlHacerClic">[0]!btn_val_cuenta_AlHacerClic</definedName>
    <definedName name="btn_val_operacion_AlHacerClic">[0]!btn_val_operacion_AlHacerClic</definedName>
    <definedName name="btn_val_trabajo_AlHacerClic">[0]!btn_val_trabajo_AlHacerClic</definedName>
    <definedName name="c_1990">#REF!</definedName>
    <definedName name="c_2990">#REF!</definedName>
    <definedName name="carga">[2]A!$U$9:$U$43</definedName>
    <definedName name="carga_dolares">[1]Encaje!$O$11:$O$12,[1]Encaje!$O$14:$O$20,[1]Encaje!$O$43,[1]Encaje!#REF!,[1]Encaje!#REF!,[1]Encaje!#REF!</definedName>
    <definedName name="Cta_110325">[1]Ingreso!#REF!</definedName>
    <definedName name="Cta_140116">[1]Ingreso!#REF!</definedName>
    <definedName name="Cta_140170">[1]Ingreso!#REF!</definedName>
    <definedName name="Cta_140216">[1]Ingreso!#REF!</definedName>
    <definedName name="Cta_140270">[1]Ingreso!#REF!</definedName>
    <definedName name="Cta_140516">[1]Ingreso!#REF!</definedName>
    <definedName name="Cta_140570">[1]Ingreso!#REF!</definedName>
    <definedName name="Cta_149920">[1]Ingreso!#REF!</definedName>
    <definedName name="Cta_1606">[1]Ingreso!#REF!</definedName>
    <definedName name="Cta_1607">[1]Ingreso!#REF!</definedName>
    <definedName name="Cta_1610">[1]Ingreso!#REF!</definedName>
    <definedName name="Cta_1615">[1]Ingreso!#REF!</definedName>
    <definedName name="Cta_169006">[1]Ingreso!#REF!</definedName>
    <definedName name="Cta_169016">[1]Ingreso!#REF!</definedName>
    <definedName name="Cta_169017">[1]Ingreso!#REF!</definedName>
    <definedName name="Cta_169021">[1]Ingreso!#REF!</definedName>
    <definedName name="Cta_1804">[1]Ingreso!#REF!</definedName>
    <definedName name="Cta_190120">[1]Ingreso!#REF!</definedName>
    <definedName name="Cta_190121">[1]Ingreso!#REF!</definedName>
    <definedName name="Cta_190140">[1]Ingreso!#REF!</definedName>
    <definedName name="Cta_190225">[1]Ingreso!#REF!</definedName>
    <definedName name="Cta_19904515">[1]Ingreso!#REF!</definedName>
    <definedName name="Cta_2604">[1]Ingreso!#REF!</definedName>
    <definedName name="Cta_2606">[1]Ingreso!#REF!</definedName>
    <definedName name="Cta_2803">[1]Ingreso!#REF!</definedName>
    <definedName name="Cta_2807">[1]Ingreso!#REF!</definedName>
    <definedName name="Cta_290110">[1]Ingreso!#REF!</definedName>
    <definedName name="Cta_3202">[1]Ingreso!#REF!</definedName>
    <definedName name="Cta_3501">[1]Ingreso!#REF!</definedName>
    <definedName name="Cta_3905">[1]Ingreso!#REF!</definedName>
    <definedName name="Cta_3910">[1]Ingreso!#REF!</definedName>
    <definedName name="Cta_4205">[1]Ingreso!#REF!</definedName>
    <definedName name="Cta_4606">[1]Ingreso!#REF!</definedName>
    <definedName name="Cta_620125">[1]Ingreso!#REF!</definedName>
    <definedName name="Cta_710135">[1]Ingreso!#REF!</definedName>
    <definedName name="Cta_7110">[1]Ingreso!#REF!</definedName>
    <definedName name="Cta_7115">[1]Ingreso!#REF!</definedName>
    <definedName name="Cta_740130">[1]Ingreso!#REF!</definedName>
    <definedName name="Cta_740190">[1]Ingreso!#REF!</definedName>
    <definedName name="Cta_7407">[1]Ingreso!#REF!</definedName>
    <definedName name="dfads">[0]!dfads</definedName>
    <definedName name="dif_1990">#REF!</definedName>
    <definedName name="dif_2990">#REF!</definedName>
    <definedName name="difer_dol">#REF!</definedName>
    <definedName name="diferencia">#REF!</definedName>
    <definedName name="dol_1990">#REF!</definedName>
    <definedName name="dol_2990">#REF!</definedName>
    <definedName name="domingo">[2]A!$P$9:$P$43</definedName>
    <definedName name="fasdfds">[0]!fasdfds</definedName>
    <definedName name="fec_ing">#REF!</definedName>
    <definedName name="FIN">#REF!</definedName>
    <definedName name="FINA">#REF!</definedName>
    <definedName name="GARGA_DOL">[1]Encaje!$O$11:$O$12,[1]Encaje!$O$14,[1]Encaje!#REF!,[1]Encaje!#REF!,[1]Encaje!#REF!,[1]Encaje!#REF!,[1]Encaje!#REF!,[1]Encaje!#REF!,[1]Encaje!#REF!,[1]Encaje!#REF!</definedName>
    <definedName name="gas_sucres">#REF!</definedName>
    <definedName name="Gastos">[1]Ingreso!#REF!</definedName>
    <definedName name="gastos1">#REF!</definedName>
    <definedName name="ing_sucres">#REF!</definedName>
    <definedName name="Ingresos">[1]Ingreso!#REF!</definedName>
    <definedName name="ingresos1">#REF!</definedName>
    <definedName name="INTRODUCCION">[0]!INTRODUCCION</definedName>
    <definedName name="jueves">[2]A!$M$9:$M$43</definedName>
    <definedName name="Jueves2">[1]Encaje!$C$11:$C$12,[1]Encaje!$C$14:$C$20,[1]Encaje!$C$43,[1]Encaje!#REF!,[1]Encaje!#REF!,[1]Encaje!#REF!</definedName>
    <definedName name="Lista_operador_AlCambiar">[0]!Lista_operador_AlCambiar</definedName>
    <definedName name="Lista_tipolinea1_AlCambiar">[0]!Lista_tipolinea1_AlCambiar</definedName>
    <definedName name="Lista_valor_cta_AlCambiar">[0]!Lista_valor_cta_AlCambiar</definedName>
    <definedName name="lunes">[2]A!$Q$9:$Q$43</definedName>
    <definedName name="lunes2">[1]Encaje!$G$11:$G$12,[1]Encaje!$G$14:$G$20,[1]Encaje!$G$43,[1]Encaje!#REF!,[1]Encaje!#REF!,[1]Encaje!#REF!</definedName>
    <definedName name="Marcodeldiálogo1_AlMostrar">[0]!Marcodeldiálogo1_AlMostrar</definedName>
    <definedName name="martes">[2]A!$R$9:$R$43</definedName>
    <definedName name="martes2">[1]Encaje!$H$11:$H$12,[1]Encaje!$H$14:$H$20,[1]Encaje!$H$43,[1]Encaje!#REF!,[1]Encaje!#REF!,[1]Encaje!#REF!</definedName>
    <definedName name="miercoles">[2]A!$S$9:$S$43</definedName>
    <definedName name="miercoles2">[1]Encaje!$I$11:$I$12,[1]Encaje!$I$14:$I$20,[1]Encaje!$I$43,[1]Encaje!#REF!,[1]Encaje!#REF!,[1]Encaje!#REF!</definedName>
    <definedName name="nuevo">[0]!nuevo</definedName>
    <definedName name="Opcion_AlCambiar">[0]!Opcion_AlCambiar</definedName>
    <definedName name="ord_sucres">#REF!</definedName>
    <definedName name="orden">#REF!</definedName>
    <definedName name="pagina_AlCambiar">[0]!pagina_AlCambiar</definedName>
    <definedName name="pas_sucres">#REF!</definedName>
    <definedName name="Pasivo">[1]Ingreso!#REF!</definedName>
    <definedName name="pasivo1">#REF!</definedName>
    <definedName name="patr_sucres">#REF!</definedName>
    <definedName name="Patrimonio">[1]Ingreso!#REF!</definedName>
    <definedName name="patrimonio1">#REF!</definedName>
    <definedName name="pes_suc">#REF!</definedName>
    <definedName name="pes_suc_pyg">#REF!</definedName>
    <definedName name="sabado">[2]A!$O$9:$O$43</definedName>
    <definedName name="solver_adj" localSheetId="0" hidden="1">'datos de entrenamiento'!$K$9:$K$108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'datos de entrenamiento'!$K$9:$K$108</definedName>
    <definedName name="solver_lhs2" localSheetId="0" hidden="1">'datos de entrenamiento'!$O$10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'datos de entrenamiento'!$O$9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2</definedName>
    <definedName name="solver_rhs1" localSheetId="0" hidden="1">'datos de entrenamiento'!$O$11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c_1990">#REF!</definedName>
    <definedName name="suc_2990">#REF!</definedName>
    <definedName name="suc_dol">#REF!</definedName>
    <definedName name="suc_dol_est">#REF!</definedName>
    <definedName name="suc_dol_pyg">#REF!</definedName>
    <definedName name="viernes">[2]A!$N$9:$N$43</definedName>
    <definedName name="viernes2">[1]Encaje!$D$11:$D$12,[1]Encaje!$D$14:$D$20,[1]Encaje!$D$43,[1]Encaje!#REF!,[1]Encaje!#REF!,[1]Encaje!#REF!</definedName>
  </definedNames>
  <calcPr calcId="145621"/>
</workbook>
</file>

<file path=xl/calcChain.xml><?xml version="1.0" encoding="utf-8"?>
<calcChain xmlns="http://schemas.openxmlformats.org/spreadsheetml/2006/main">
  <c r="L108" i="12" l="1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J27" i="13" l="1"/>
  <c r="J63" i="13"/>
  <c r="J83" i="13"/>
  <c r="J99" i="13"/>
  <c r="J101" i="13"/>
  <c r="J105" i="13"/>
  <c r="J117" i="13"/>
  <c r="J119" i="13"/>
  <c r="J123" i="13"/>
  <c r="L7" i="12"/>
  <c r="J6" i="13" s="1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10" i="12"/>
  <c r="F7" i="12" s="1"/>
  <c r="D11" i="12"/>
  <c r="D12" i="12"/>
  <c r="I7" i="12" s="1"/>
  <c r="D13" i="12"/>
  <c r="D14" i="12"/>
  <c r="D15" i="12"/>
  <c r="O10" i="12" s="1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9" i="12"/>
  <c r="H7" i="12" s="1"/>
  <c r="O9" i="12"/>
  <c r="J57" i="13" l="1"/>
  <c r="J125" i="13"/>
  <c r="J107" i="13"/>
  <c r="J89" i="13"/>
  <c r="J71" i="13"/>
  <c r="J39" i="13"/>
  <c r="J87" i="13"/>
  <c r="J69" i="13"/>
  <c r="J33" i="13"/>
  <c r="J81" i="13"/>
  <c r="J21" i="13"/>
  <c r="J113" i="13"/>
  <c r="J95" i="13"/>
  <c r="J77" i="13"/>
  <c r="J51" i="13"/>
  <c r="J15" i="13"/>
  <c r="J111" i="13"/>
  <c r="J93" i="13"/>
  <c r="J75" i="13"/>
  <c r="J45" i="13"/>
  <c r="J9" i="13"/>
  <c r="J65" i="13"/>
  <c r="J59" i="13"/>
  <c r="J53" i="13"/>
  <c r="J47" i="13"/>
  <c r="J41" i="13"/>
  <c r="J35" i="13"/>
  <c r="J29" i="13"/>
  <c r="J23" i="13"/>
  <c r="J17" i="13"/>
  <c r="J11" i="13"/>
  <c r="J124" i="13"/>
  <c r="J118" i="13"/>
  <c r="J112" i="13"/>
  <c r="J106" i="13"/>
  <c r="J100" i="13"/>
  <c r="J94" i="13"/>
  <c r="J88" i="13"/>
  <c r="J82" i="13"/>
  <c r="J76" i="13"/>
  <c r="J70" i="13"/>
  <c r="J64" i="13"/>
  <c r="J58" i="13"/>
  <c r="J52" i="13"/>
  <c r="J46" i="13"/>
  <c r="J40" i="13"/>
  <c r="J34" i="13"/>
  <c r="J28" i="13"/>
  <c r="J22" i="13"/>
  <c r="J16" i="13"/>
  <c r="J10" i="13"/>
  <c r="J122" i="13"/>
  <c r="J116" i="13"/>
  <c r="J110" i="13"/>
  <c r="J104" i="13"/>
  <c r="J98" i="13"/>
  <c r="J92" i="13"/>
  <c r="J86" i="13"/>
  <c r="J80" i="13"/>
  <c r="J74" i="13"/>
  <c r="J68" i="13"/>
  <c r="J62" i="13"/>
  <c r="J56" i="13"/>
  <c r="J50" i="13"/>
  <c r="J44" i="13"/>
  <c r="J38" i="13"/>
  <c r="J32" i="13"/>
  <c r="J26" i="13"/>
  <c r="J20" i="13"/>
  <c r="J14" i="13"/>
  <c r="J8" i="13"/>
  <c r="J5" i="13"/>
  <c r="J121" i="13"/>
  <c r="J115" i="13"/>
  <c r="J109" i="13"/>
  <c r="J103" i="13"/>
  <c r="J97" i="13"/>
  <c r="J91" i="13"/>
  <c r="J85" i="13"/>
  <c r="J79" i="13"/>
  <c r="J73" i="13"/>
  <c r="J67" i="13"/>
  <c r="J61" i="13"/>
  <c r="J55" i="13"/>
  <c r="J49" i="13"/>
  <c r="J43" i="13"/>
  <c r="J37" i="13"/>
  <c r="J31" i="13"/>
  <c r="J25" i="13"/>
  <c r="J19" i="13"/>
  <c r="J13" i="13"/>
  <c r="J7" i="13"/>
  <c r="J126" i="13"/>
  <c r="J120" i="13"/>
  <c r="J114" i="13"/>
  <c r="J108" i="13"/>
  <c r="J102" i="13"/>
  <c r="J96" i="13"/>
  <c r="J90" i="13"/>
  <c r="J84" i="13"/>
  <c r="J78" i="13"/>
  <c r="J72" i="13"/>
  <c r="J66" i="13"/>
  <c r="J60" i="13"/>
  <c r="J54" i="13"/>
  <c r="J48" i="13"/>
  <c r="J42" i="13"/>
  <c r="J36" i="13"/>
  <c r="J30" i="13"/>
  <c r="J24" i="13"/>
  <c r="J18" i="13"/>
  <c r="J12" i="13"/>
  <c r="J7" i="12"/>
  <c r="G7" i="12"/>
  <c r="M10" i="13" l="1"/>
  <c r="E10" i="12" l="1"/>
  <c r="E47" i="12"/>
  <c r="E38" i="12"/>
  <c r="E84" i="12"/>
  <c r="E70" i="12"/>
  <c r="E105" i="12"/>
  <c r="E32" i="12"/>
  <c r="E78" i="12"/>
  <c r="E64" i="12"/>
  <c r="E26" i="12"/>
  <c r="E72" i="12"/>
  <c r="E58" i="12"/>
  <c r="E11" i="12"/>
  <c r="E9" i="12"/>
  <c r="E95" i="12"/>
  <c r="E76" i="12"/>
  <c r="E63" i="12"/>
  <c r="E67" i="12"/>
  <c r="E53" i="12"/>
  <c r="E31" i="12"/>
  <c r="E97" i="12"/>
  <c r="E93" i="12"/>
  <c r="E48" i="12"/>
  <c r="E34" i="12"/>
  <c r="E90" i="12"/>
  <c r="E81" i="12"/>
  <c r="E42" i="12"/>
  <c r="E28" i="12"/>
  <c r="E69" i="12"/>
  <c r="E36" i="12"/>
  <c r="E22" i="12"/>
  <c r="E75" i="12"/>
  <c r="E73" i="12"/>
  <c r="E59" i="12"/>
  <c r="E86" i="12"/>
  <c r="E17" i="12"/>
  <c r="E30" i="12"/>
  <c r="E27" i="12"/>
  <c r="E12" i="12"/>
  <c r="E83" i="12"/>
  <c r="E21" i="12"/>
  <c r="E107" i="12"/>
  <c r="E44" i="12"/>
  <c r="E15" i="12"/>
  <c r="E101" i="12"/>
  <c r="E92" i="12"/>
  <c r="E37" i="12"/>
  <c r="E23" i="12"/>
  <c r="E50" i="12"/>
  <c r="E96" i="12"/>
  <c r="E82" i="12"/>
  <c r="E45" i="12"/>
  <c r="E51" i="12"/>
  <c r="E91" i="12"/>
  <c r="E77" i="12"/>
  <c r="E99" i="12"/>
  <c r="E85" i="12"/>
  <c r="E71" i="12"/>
  <c r="E25" i="12"/>
  <c r="E87" i="12"/>
  <c r="E79" i="12"/>
  <c r="E65" i="12"/>
  <c r="E56" i="12"/>
  <c r="E102" i="12"/>
  <c r="E88" i="12"/>
  <c r="E14" i="12"/>
  <c r="E60" i="12"/>
  <c r="E46" i="12"/>
  <c r="E24" i="12"/>
  <c r="E108" i="12"/>
  <c r="E16" i="12"/>
  <c r="E103" i="12"/>
  <c r="E39" i="12"/>
  <c r="E33" i="12"/>
  <c r="E55" i="12"/>
  <c r="E41" i="12"/>
  <c r="E104" i="12"/>
  <c r="E49" i="12"/>
  <c r="E35" i="12"/>
  <c r="E18" i="12"/>
  <c r="E98" i="12"/>
  <c r="E43" i="12"/>
  <c r="E29" i="12"/>
  <c r="E20" i="12"/>
  <c r="E66" i="12"/>
  <c r="E52" i="12"/>
  <c r="E80" i="12"/>
  <c r="E62" i="12"/>
  <c r="E57" i="12"/>
  <c r="E54" i="12"/>
  <c r="E74" i="12"/>
  <c r="E19" i="12"/>
  <c r="E106" i="12"/>
  <c r="E68" i="12"/>
  <c r="E13" i="12"/>
  <c r="E100" i="12"/>
  <c r="E40" i="12"/>
  <c r="E94" i="12"/>
  <c r="E61" i="12"/>
  <c r="E89" i="12"/>
  <c r="O16" i="12" l="1"/>
</calcChain>
</file>

<file path=xl/sharedStrings.xml><?xml version="1.0" encoding="utf-8"?>
<sst xmlns="http://schemas.openxmlformats.org/spreadsheetml/2006/main" count="258" uniqueCount="31">
  <si>
    <t>GANANCIAS RETENIDAS / TOTAL ACTIVOS</t>
  </si>
  <si>
    <t>CAPITAL DE TRABAJO / TOTAL ACTIVOS</t>
  </si>
  <si>
    <t>VALOR DE MERCADO DE LAS ACCIONES / TOTAL PASIVO</t>
  </si>
  <si>
    <t>VENTAS / TOTAL ACTIVOS</t>
  </si>
  <si>
    <t>A</t>
  </si>
  <si>
    <t>B</t>
  </si>
  <si>
    <t>C</t>
  </si>
  <si>
    <t>D</t>
  </si>
  <si>
    <t>E</t>
  </si>
  <si>
    <t>RATING</t>
  </si>
  <si>
    <t>n</t>
  </si>
  <si>
    <t>DEFAULT</t>
  </si>
  <si>
    <t>alpha</t>
  </si>
  <si>
    <t>y</t>
  </si>
  <si>
    <t>constraint</t>
  </si>
  <si>
    <t>offset</t>
  </si>
  <si>
    <t>cota_alpha</t>
  </si>
  <si>
    <t>clasificacion</t>
  </si>
  <si>
    <t>prediccion</t>
  </si>
  <si>
    <t>aciertos</t>
  </si>
  <si>
    <t>GANANCIAS ANTES DE IMPUESTOS / TOTAL ACTIVOS</t>
  </si>
  <si>
    <t>w1</t>
  </si>
  <si>
    <t>w2</t>
  </si>
  <si>
    <t>w3</t>
  </si>
  <si>
    <t>w4</t>
  </si>
  <si>
    <t>w5</t>
  </si>
  <si>
    <t>b</t>
  </si>
  <si>
    <t>Resultados</t>
  </si>
  <si>
    <t>offset_minimo</t>
  </si>
  <si>
    <t>objetivo a maximizar</t>
  </si>
  <si>
    <t>ID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</si>
</sst>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/>
    <xf numFmtId="9" fontId="0" fillId="0" borderId="0" xfId="1" applyFont="1"/>
    <xf numFmtId="0" fontId="0" fillId="0" borderId="1" xfId="0" applyBorder="1"/>
    <xf numFmtId="2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/>
    <xf numFmtId="9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1/archivos%20de%20programa/INDICES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OSHIBA/Escritorio/MC/Formulario%20liquidez-2034%20SEMANA%20AL%2022%20DE%20NOVIEMBR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o"/>
      <sheetName val="Ingreso"/>
      <sheetName val="Dialogo2"/>
      <sheetName val="Dialogo3"/>
      <sheetName val="Principal"/>
      <sheetName val="Encaje"/>
      <sheetName val="Posicion Moneda"/>
      <sheetName val="Indice de Liquidez"/>
      <sheetName val="estructural"/>
      <sheetName val="fondos disponibl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11">
          <cell r="C11">
            <v>3439826.4</v>
          </cell>
          <cell r="D11">
            <v>3675532.43</v>
          </cell>
          <cell r="G11">
            <v>0</v>
          </cell>
          <cell r="H11">
            <v>0</v>
          </cell>
          <cell r="I11">
            <v>0</v>
          </cell>
          <cell r="O11">
            <v>3675532.43</v>
          </cell>
        </row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I12">
            <v>0</v>
          </cell>
          <cell r="O12">
            <v>0</v>
          </cell>
        </row>
        <row r="14">
          <cell r="C14">
            <v>13447715.77</v>
          </cell>
          <cell r="D14">
            <v>13932033.630000001</v>
          </cell>
          <cell r="G14">
            <v>0</v>
          </cell>
          <cell r="H14">
            <v>0</v>
          </cell>
          <cell r="I14">
            <v>0</v>
          </cell>
          <cell r="O14">
            <v>13932033.630000001</v>
          </cell>
        </row>
        <row r="15">
          <cell r="C15">
            <v>8077701.2999999998</v>
          </cell>
          <cell r="D15">
            <v>8343074.2199999997</v>
          </cell>
          <cell r="G15">
            <v>0</v>
          </cell>
          <cell r="H15">
            <v>0</v>
          </cell>
          <cell r="I15">
            <v>0</v>
          </cell>
          <cell r="O15">
            <v>8343074.2199999997</v>
          </cell>
        </row>
        <row r="16">
          <cell r="C16">
            <v>1270638.6299999999</v>
          </cell>
          <cell r="D16">
            <v>1416173.62</v>
          </cell>
          <cell r="G16">
            <v>0</v>
          </cell>
          <cell r="H16">
            <v>0</v>
          </cell>
          <cell r="I16">
            <v>0</v>
          </cell>
          <cell r="O16">
            <v>1416173.62</v>
          </cell>
        </row>
        <row r="17">
          <cell r="C17">
            <v>441191.53</v>
          </cell>
          <cell r="D17">
            <v>441191.53</v>
          </cell>
          <cell r="G17">
            <v>0</v>
          </cell>
          <cell r="H17">
            <v>0</v>
          </cell>
          <cell r="I17">
            <v>0</v>
          </cell>
          <cell r="O17">
            <v>441191.53</v>
          </cell>
        </row>
        <row r="18">
          <cell r="C18">
            <v>50027.78</v>
          </cell>
          <cell r="D18">
            <v>50027.78</v>
          </cell>
          <cell r="G18">
            <v>0</v>
          </cell>
          <cell r="H18">
            <v>0</v>
          </cell>
          <cell r="I18">
            <v>0</v>
          </cell>
          <cell r="O18">
            <v>50027.78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I19">
            <v>0</v>
          </cell>
          <cell r="O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I20">
            <v>0</v>
          </cell>
          <cell r="O20">
            <v>0</v>
          </cell>
        </row>
        <row r="43">
          <cell r="C43">
            <v>1766507.66</v>
          </cell>
          <cell r="D43">
            <v>2620417.1</v>
          </cell>
          <cell r="G43">
            <v>0</v>
          </cell>
          <cell r="H43">
            <v>0</v>
          </cell>
          <cell r="I43">
            <v>0</v>
          </cell>
          <cell r="O43">
            <v>2620417.1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estructural FORMATO"/>
      <sheetName val="estructural"/>
      <sheetName val="portafolio"/>
      <sheetName val="fondos disponibles"/>
      <sheetName val="instructivo portafolio"/>
      <sheetName val="tablas portafolio"/>
      <sheetName val="concentracion depositos"/>
    </sheetNames>
    <sheetDataSet>
      <sheetData sheetId="0">
        <row r="11">
          <cell r="M11">
            <v>8487084.1899999995</v>
          </cell>
          <cell r="N11">
            <v>7896884</v>
          </cell>
          <cell r="O11">
            <v>7896884</v>
          </cell>
          <cell r="P11">
            <v>7896884</v>
          </cell>
          <cell r="Q11">
            <v>8910150.7400000002</v>
          </cell>
          <cell r="R11">
            <v>8795297.8100000005</v>
          </cell>
          <cell r="S11">
            <v>7639937.1600000001</v>
          </cell>
          <cell r="U11">
            <v>6390478.0599999996</v>
          </cell>
        </row>
        <row r="12"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U12">
            <v>0</v>
          </cell>
        </row>
        <row r="13"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</row>
        <row r="14"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U14">
            <v>0</v>
          </cell>
        </row>
        <row r="15"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U15">
            <v>0</v>
          </cell>
        </row>
        <row r="16">
          <cell r="M16">
            <v>260595.93</v>
          </cell>
          <cell r="N16">
            <v>260595.93</v>
          </cell>
          <cell r="O16">
            <v>260595.93</v>
          </cell>
          <cell r="P16">
            <v>260595.93</v>
          </cell>
          <cell r="Q16">
            <v>260595.93</v>
          </cell>
          <cell r="R16">
            <v>260595.93</v>
          </cell>
          <cell r="S16">
            <v>260595.93</v>
          </cell>
          <cell r="U16">
            <v>260595.93</v>
          </cell>
        </row>
        <row r="17"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</row>
        <row r="18"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</row>
        <row r="19"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</row>
        <row r="20"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U20">
            <v>0</v>
          </cell>
        </row>
        <row r="21"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</row>
        <row r="22"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U22">
            <v>0</v>
          </cell>
        </row>
        <row r="23">
          <cell r="M23">
            <v>640749.84</v>
          </cell>
          <cell r="N23">
            <v>640749.84</v>
          </cell>
          <cell r="O23">
            <v>640749.84</v>
          </cell>
          <cell r="P23">
            <v>640749.84</v>
          </cell>
          <cell r="Q23">
            <v>640749.84</v>
          </cell>
          <cell r="R23">
            <v>640749.84</v>
          </cell>
          <cell r="S23">
            <v>640749.84</v>
          </cell>
          <cell r="U23">
            <v>640749.84</v>
          </cell>
        </row>
        <row r="24">
          <cell r="O24">
            <v>0</v>
          </cell>
          <cell r="P24">
            <v>0</v>
          </cell>
        </row>
        <row r="25">
          <cell r="O25">
            <v>0</v>
          </cell>
          <cell r="P25">
            <v>0</v>
          </cell>
        </row>
        <row r="26">
          <cell r="M26">
            <v>2344071.87</v>
          </cell>
          <cell r="N26">
            <v>2270370.4700000002</v>
          </cell>
          <cell r="O26">
            <v>2270370.4700000002</v>
          </cell>
          <cell r="P26">
            <v>2270370.4700000002</v>
          </cell>
          <cell r="Q26">
            <v>2377748.39</v>
          </cell>
          <cell r="R26">
            <v>2807516.99</v>
          </cell>
          <cell r="S26">
            <v>2296871.12</v>
          </cell>
          <cell r="U26">
            <v>2896058.55</v>
          </cell>
        </row>
        <row r="27"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U27">
            <v>0</v>
          </cell>
        </row>
        <row r="28">
          <cell r="M28">
            <v>25734392.32</v>
          </cell>
          <cell r="N28">
            <v>25710174.350000001</v>
          </cell>
          <cell r="O28">
            <v>25710174.350000001</v>
          </cell>
          <cell r="P28">
            <v>25710174.350000001</v>
          </cell>
          <cell r="Q28">
            <v>25929759.760000002</v>
          </cell>
          <cell r="R28">
            <v>25943948.379999999</v>
          </cell>
          <cell r="S28">
            <v>25854067.920000002</v>
          </cell>
          <cell r="U28">
            <v>24087672.350000001</v>
          </cell>
        </row>
        <row r="29"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U29">
            <v>0</v>
          </cell>
        </row>
        <row r="30"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</row>
        <row r="31"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U31">
            <v>82825.5</v>
          </cell>
        </row>
        <row r="32"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U32">
            <v>0</v>
          </cell>
        </row>
        <row r="33"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U33">
            <v>0</v>
          </cell>
        </row>
        <row r="34">
          <cell r="O34">
            <v>0</v>
          </cell>
          <cell r="P34">
            <v>0</v>
          </cell>
        </row>
        <row r="35">
          <cell r="O35">
            <v>0</v>
          </cell>
          <cell r="P35">
            <v>0</v>
          </cell>
        </row>
        <row r="36">
          <cell r="O36">
            <v>0</v>
          </cell>
          <cell r="P36">
            <v>0</v>
          </cell>
        </row>
        <row r="37">
          <cell r="O37">
            <v>0</v>
          </cell>
          <cell r="P37">
            <v>0</v>
          </cell>
        </row>
        <row r="38">
          <cell r="O38">
            <v>0</v>
          </cell>
          <cell r="P38">
            <v>0</v>
          </cell>
        </row>
        <row r="39">
          <cell r="O39">
            <v>0</v>
          </cell>
          <cell r="P39">
            <v>0</v>
          </cell>
        </row>
        <row r="40">
          <cell r="M40">
            <v>640749.84</v>
          </cell>
          <cell r="N40">
            <v>640749.84</v>
          </cell>
          <cell r="O40">
            <v>640749.84</v>
          </cell>
          <cell r="P40">
            <v>640749.84</v>
          </cell>
          <cell r="Q40">
            <v>640749.84</v>
          </cell>
          <cell r="R40">
            <v>640749.84</v>
          </cell>
          <cell r="S40">
            <v>640749.84</v>
          </cell>
          <cell r="U40">
            <v>640749.84000000008</v>
          </cell>
        </row>
        <row r="41">
          <cell r="M41">
            <v>27641896.899999999</v>
          </cell>
          <cell r="N41">
            <v>27780933.440000001</v>
          </cell>
          <cell r="O41">
            <v>27780933.440000001</v>
          </cell>
          <cell r="P41">
            <v>27780933.440000001</v>
          </cell>
          <cell r="Q41">
            <v>27838139.350000001</v>
          </cell>
          <cell r="R41">
            <v>28112748.32</v>
          </cell>
          <cell r="S41">
            <v>28376521.530000001</v>
          </cell>
          <cell r="U41">
            <v>26107543.41</v>
          </cell>
        </row>
        <row r="42"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U42">
            <v>0</v>
          </cell>
        </row>
        <row r="43">
          <cell r="M43">
            <v>1998.44</v>
          </cell>
          <cell r="N43">
            <v>1998.44</v>
          </cell>
          <cell r="O43">
            <v>1998.44</v>
          </cell>
          <cell r="P43">
            <v>1998.44</v>
          </cell>
          <cell r="Q43">
            <v>1998.44</v>
          </cell>
          <cell r="R43">
            <v>1998.44</v>
          </cell>
          <cell r="S43">
            <v>1998.44</v>
          </cell>
          <cell r="U43">
            <v>1998.44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6:O108"/>
  <sheetViews>
    <sheetView tabSelected="1" topLeftCell="D1" workbookViewId="0">
      <selection activeCell="F7" sqref="F7"/>
    </sheetView>
  </sheetViews>
  <sheetFormatPr baseColWidth="10" defaultRowHeight="12.75" x14ac:dyDescent="0.2"/>
  <cols>
    <col min="2" max="2" width="7.7109375" bestFit="1" customWidth="1"/>
    <col min="3" max="3" width="9.28515625" bestFit="1" customWidth="1"/>
    <col min="4" max="5" width="9.28515625" customWidth="1"/>
    <col min="6" max="6" width="20.5703125" customWidth="1"/>
    <col min="7" max="7" width="24" customWidth="1"/>
    <col min="8" max="8" width="29" customWidth="1"/>
    <col min="9" max="9" width="20.5703125" bestFit="1" customWidth="1"/>
    <col min="10" max="10" width="9.5703125" bestFit="1" customWidth="1"/>
    <col min="14" max="14" width="18" bestFit="1" customWidth="1"/>
  </cols>
  <sheetData>
    <row r="6" spans="1:15" x14ac:dyDescent="0.2">
      <c r="F6" s="9" t="s">
        <v>21</v>
      </c>
      <c r="G6" s="9" t="s">
        <v>22</v>
      </c>
      <c r="H6" s="9" t="s">
        <v>23</v>
      </c>
      <c r="I6" s="9" t="s">
        <v>24</v>
      </c>
      <c r="J6" s="9" t="s">
        <v>25</v>
      </c>
      <c r="K6" s="9"/>
      <c r="L6" s="9" t="s">
        <v>26</v>
      </c>
    </row>
    <row r="7" spans="1:15" x14ac:dyDescent="0.2">
      <c r="F7" s="7">
        <f>SUMPRODUCT($D$9:$D$108,F9:F108,$K$9:$K$108)</f>
        <v>2.0389839327943622</v>
      </c>
      <c r="G7" s="7">
        <f>SUMPRODUCT($D$9:$D$108,G9:G108,$K$9:$K$108)</f>
        <v>-1.8540082211356168</v>
      </c>
      <c r="H7" s="7">
        <f>SUMPRODUCT($D$9:$D$108,H9:H108,$K$9:$K$108)</f>
        <v>-5.8651119495098478E-2</v>
      </c>
      <c r="I7" s="7">
        <f>SUMPRODUCT($D$9:$D$108,I9:I108,$K$9:$K$108)</f>
        <v>-0.11236577973221556</v>
      </c>
      <c r="J7" s="7">
        <f>SUMPRODUCT($D$9:$D$108,J9:J108,$K$9:$K$108)</f>
        <v>0.91352723373280043</v>
      </c>
      <c r="K7" s="7"/>
      <c r="L7" s="8">
        <f>AVERAGE(L9:L108)</f>
        <v>0.44875617700996678</v>
      </c>
    </row>
    <row r="8" spans="1:15" ht="39" customHeight="1" x14ac:dyDescent="0.2">
      <c r="A8" s="10" t="s">
        <v>10</v>
      </c>
      <c r="B8" s="10" t="s">
        <v>9</v>
      </c>
      <c r="C8" s="10" t="s">
        <v>11</v>
      </c>
      <c r="D8" s="11" t="s">
        <v>13</v>
      </c>
      <c r="E8" s="11" t="s">
        <v>17</v>
      </c>
      <c r="F8" s="10" t="s">
        <v>1</v>
      </c>
      <c r="G8" s="10" t="s">
        <v>0</v>
      </c>
      <c r="H8" s="12" t="s">
        <v>20</v>
      </c>
      <c r="I8" s="10" t="s">
        <v>2</v>
      </c>
      <c r="J8" s="10" t="s">
        <v>3</v>
      </c>
      <c r="K8" s="12" t="s">
        <v>12</v>
      </c>
      <c r="L8" s="12" t="s">
        <v>15</v>
      </c>
    </row>
    <row r="9" spans="1:15" x14ac:dyDescent="0.2">
      <c r="A9">
        <v>157</v>
      </c>
      <c r="B9" s="4" t="s">
        <v>4</v>
      </c>
      <c r="C9" s="4">
        <v>0</v>
      </c>
      <c r="D9" s="4">
        <f t="shared" ref="D9:D40" si="0">C9*2-1</f>
        <v>-1</v>
      </c>
      <c r="E9" s="4">
        <f>SIGN(SUMPRODUCT(F9:J9,$F$7:$J$7)-$L$7)</f>
        <v>-1</v>
      </c>
      <c r="F9" s="1">
        <v>0.41577950000000002</v>
      </c>
      <c r="G9" s="1">
        <v>0.1101916</v>
      </c>
      <c r="H9" s="1">
        <v>5.0738499999999999E-2</v>
      </c>
      <c r="I9" s="1">
        <v>7.4419469999999999</v>
      </c>
      <c r="J9" s="1">
        <v>0.11231869999999999</v>
      </c>
      <c r="K9" s="1">
        <v>0</v>
      </c>
      <c r="L9" s="1" t="str">
        <f>IF(K9&gt;$O$12,SUMPRODUCT(F9:J9,$F$7:$J$7)-D9,"")</f>
        <v/>
      </c>
      <c r="N9" s="17" t="s">
        <v>29</v>
      </c>
      <c r="O9" s="16">
        <f>SUM(K9:K108)-0.5*multiplica(K9:K108,D9:D108,F9:J108)</f>
        <v>28.028790443458703</v>
      </c>
    </row>
    <row r="10" spans="1:15" x14ac:dyDescent="0.2">
      <c r="A10">
        <v>196</v>
      </c>
      <c r="B10" s="4" t="s">
        <v>6</v>
      </c>
      <c r="C10" s="4">
        <v>0</v>
      </c>
      <c r="D10" s="4">
        <f t="shared" si="0"/>
        <v>-1</v>
      </c>
      <c r="E10" s="4">
        <f t="shared" ref="E10:E73" si="1">SIGN(SUMPRODUCT(F10:J10,$F$7:$J$7)-$L$7)</f>
        <v>-1</v>
      </c>
      <c r="F10" s="1">
        <v>8.0377000000000001E-3</v>
      </c>
      <c r="G10" s="1">
        <v>-4.7379400000000002E-2</v>
      </c>
      <c r="H10" s="1">
        <v>4.3104700000000003E-2</v>
      </c>
      <c r="I10" s="1">
        <v>0.55162690000000003</v>
      </c>
      <c r="J10" s="1">
        <v>0.2016917</v>
      </c>
      <c r="K10" s="1">
        <v>0.70220593309646773</v>
      </c>
      <c r="L10" s="1">
        <f t="shared" ref="L10:L73" si="2">IF(K10&gt;$O$12,SUMPRODUCT(F10:J10,$F$7:$J$7)-D10,"")</f>
        <v>1.2239692733866947</v>
      </c>
      <c r="N10" s="15" t="s">
        <v>14</v>
      </c>
      <c r="O10" s="16">
        <f>SUMPRODUCT(K9:K108,D9:D108)</f>
        <v>2.5446951767982284E-8</v>
      </c>
    </row>
    <row r="11" spans="1:15" x14ac:dyDescent="0.2">
      <c r="A11">
        <v>90</v>
      </c>
      <c r="B11" s="4" t="s">
        <v>8</v>
      </c>
      <c r="C11" s="4">
        <v>1</v>
      </c>
      <c r="D11" s="4">
        <f t="shared" si="0"/>
        <v>1</v>
      </c>
      <c r="E11" s="4">
        <f t="shared" si="1"/>
        <v>1</v>
      </c>
      <c r="F11" s="1">
        <v>0.22941810000000001</v>
      </c>
      <c r="G11" s="1">
        <v>-1.871837</v>
      </c>
      <c r="H11" s="1">
        <v>3.5006999999999998E-3</v>
      </c>
      <c r="I11" s="1">
        <v>0.21097830000000001</v>
      </c>
      <c r="J11" s="1">
        <v>0.10642699999999999</v>
      </c>
      <c r="K11" s="1">
        <v>1.239733849713001E-2</v>
      </c>
      <c r="L11" s="1">
        <f t="shared" si="2"/>
        <v>3.0114929081624267</v>
      </c>
      <c r="N11" s="15" t="s">
        <v>16</v>
      </c>
      <c r="O11" s="16">
        <v>1</v>
      </c>
    </row>
    <row r="12" spans="1:15" x14ac:dyDescent="0.2">
      <c r="A12">
        <v>35</v>
      </c>
      <c r="B12" s="4" t="s">
        <v>5</v>
      </c>
      <c r="C12" s="4">
        <v>0</v>
      </c>
      <c r="D12" s="4">
        <f t="shared" si="0"/>
        <v>-1</v>
      </c>
      <c r="E12" s="4">
        <f t="shared" si="1"/>
        <v>1</v>
      </c>
      <c r="F12" s="1">
        <v>0.54778020000000005</v>
      </c>
      <c r="G12" s="1">
        <v>0.32221369999999999</v>
      </c>
      <c r="H12" s="1">
        <v>5.1842600000000003E-2</v>
      </c>
      <c r="I12" s="1">
        <v>1.0645450000000001</v>
      </c>
      <c r="J12" s="1">
        <v>0.33459129999999998</v>
      </c>
      <c r="K12" s="1">
        <v>8.8516659137797692E-5</v>
      </c>
      <c r="L12" s="1" t="str">
        <f t="shared" si="2"/>
        <v/>
      </c>
      <c r="N12" s="17" t="s">
        <v>28</v>
      </c>
      <c r="O12" s="16">
        <v>0.01</v>
      </c>
    </row>
    <row r="13" spans="1:15" x14ac:dyDescent="0.2">
      <c r="A13">
        <v>115</v>
      </c>
      <c r="B13" s="4" t="s">
        <v>5</v>
      </c>
      <c r="C13" s="4">
        <v>0</v>
      </c>
      <c r="D13" s="4">
        <f t="shared" si="0"/>
        <v>-1</v>
      </c>
      <c r="E13" s="4">
        <f t="shared" si="1"/>
        <v>-1</v>
      </c>
      <c r="F13" s="1">
        <v>1.4996199999999999E-2</v>
      </c>
      <c r="G13" s="1">
        <v>0.29602040000000002</v>
      </c>
      <c r="H13" s="1">
        <v>6.2027800000000001E-2</v>
      </c>
      <c r="I13" s="1">
        <v>0.68640619999999997</v>
      </c>
      <c r="J13" s="1">
        <v>0.63324389999999997</v>
      </c>
      <c r="K13" s="1">
        <v>0.46012991743646764</v>
      </c>
      <c r="L13" s="1">
        <f t="shared" si="2"/>
        <v>0.97947173608844196</v>
      </c>
      <c r="N13" s="5"/>
    </row>
    <row r="14" spans="1:15" x14ac:dyDescent="0.2">
      <c r="A14">
        <v>155</v>
      </c>
      <c r="B14" s="4" t="s">
        <v>4</v>
      </c>
      <c r="C14" s="4">
        <v>0</v>
      </c>
      <c r="D14" s="4">
        <f t="shared" si="0"/>
        <v>-1</v>
      </c>
      <c r="E14" s="4">
        <f t="shared" si="1"/>
        <v>-1</v>
      </c>
      <c r="F14" s="1">
        <v>7.3662099999999994E-2</v>
      </c>
      <c r="G14" s="1">
        <v>0.28567120000000001</v>
      </c>
      <c r="H14" s="1">
        <v>2.7682200000000001E-2</v>
      </c>
      <c r="I14" s="1">
        <v>1.4509989999999999</v>
      </c>
      <c r="J14" s="1">
        <v>0.2241833</v>
      </c>
      <c r="K14" s="1">
        <v>0.20301686001529265</v>
      </c>
      <c r="L14" s="1">
        <f t="shared" si="2"/>
        <v>0.66069040886655284</v>
      </c>
    </row>
    <row r="15" spans="1:15" x14ac:dyDescent="0.2">
      <c r="A15">
        <v>154</v>
      </c>
      <c r="B15" s="4" t="s">
        <v>4</v>
      </c>
      <c r="C15" s="4">
        <v>0</v>
      </c>
      <c r="D15" s="4">
        <f t="shared" si="0"/>
        <v>-1</v>
      </c>
      <c r="E15" s="4">
        <f t="shared" si="1"/>
        <v>-1</v>
      </c>
      <c r="F15" s="1">
        <v>9.3577800000000003E-2</v>
      </c>
      <c r="G15" s="1">
        <v>0.25567909999999999</v>
      </c>
      <c r="H15" s="1">
        <v>4.6665499999999999E-2</v>
      </c>
      <c r="I15" s="1">
        <v>1.7091259999999999</v>
      </c>
      <c r="J15" s="1">
        <v>0.19322439999999999</v>
      </c>
      <c r="K15" s="1">
        <v>0.20177915292190574</v>
      </c>
      <c r="L15" s="1">
        <f t="shared" si="2"/>
        <v>0.69850396944796778</v>
      </c>
      <c r="N15" s="18" t="s">
        <v>27</v>
      </c>
      <c r="O15" s="19"/>
    </row>
    <row r="16" spans="1:15" x14ac:dyDescent="0.2">
      <c r="A16">
        <v>98</v>
      </c>
      <c r="B16" s="4" t="s">
        <v>4</v>
      </c>
      <c r="C16" s="4">
        <v>0</v>
      </c>
      <c r="D16" s="4">
        <f t="shared" si="0"/>
        <v>-1</v>
      </c>
      <c r="E16" s="4">
        <f t="shared" si="1"/>
        <v>-1</v>
      </c>
      <c r="F16" s="1">
        <v>2.28159E-2</v>
      </c>
      <c r="G16" s="1">
        <v>0.23840059999999999</v>
      </c>
      <c r="H16" s="1">
        <v>3.8064899999999999E-2</v>
      </c>
      <c r="I16" s="1">
        <v>0.76666429999999997</v>
      </c>
      <c r="J16" s="1">
        <v>0.26658749999999998</v>
      </c>
      <c r="K16" s="1">
        <v>6.0934706566340043E-2</v>
      </c>
      <c r="L16" s="1">
        <f t="shared" si="2"/>
        <v>0.75968014175049992</v>
      </c>
      <c r="N16" s="13" t="s">
        <v>19</v>
      </c>
      <c r="O16" s="14">
        <f>((COUNT(D9:D108)+SUMPRODUCT(D9:D108,E9:E108))/2)/COUNT(D9:D108)</f>
        <v>0.81</v>
      </c>
    </row>
    <row r="17" spans="1:12" x14ac:dyDescent="0.2">
      <c r="A17">
        <v>174</v>
      </c>
      <c r="B17" s="4" t="s">
        <v>4</v>
      </c>
      <c r="C17" s="4">
        <v>1</v>
      </c>
      <c r="D17" s="4">
        <f t="shared" si="0"/>
        <v>1</v>
      </c>
      <c r="E17" s="4">
        <f t="shared" si="1"/>
        <v>-1</v>
      </c>
      <c r="F17" s="1">
        <v>0.18468399999999999</v>
      </c>
      <c r="G17" s="1">
        <v>0.59257409999999999</v>
      </c>
      <c r="H17" s="1">
        <v>3.0806400000000001E-2</v>
      </c>
      <c r="I17" s="1">
        <v>0.2030933</v>
      </c>
      <c r="J17" s="1">
        <v>0.27230690000000002</v>
      </c>
      <c r="K17" s="1">
        <v>1</v>
      </c>
      <c r="L17" s="1">
        <f t="shared" si="2"/>
        <v>-1.4979373421649935</v>
      </c>
    </row>
    <row r="18" spans="1:12" x14ac:dyDescent="0.2">
      <c r="A18">
        <v>6</v>
      </c>
      <c r="B18" s="4" t="s">
        <v>7</v>
      </c>
      <c r="C18" s="4">
        <v>1</v>
      </c>
      <c r="D18" s="4">
        <f t="shared" si="0"/>
        <v>1</v>
      </c>
      <c r="E18" s="4">
        <f t="shared" si="1"/>
        <v>1</v>
      </c>
      <c r="F18" s="1">
        <v>0.2071114</v>
      </c>
      <c r="G18" s="1">
        <v>0.1160848</v>
      </c>
      <c r="H18" s="1">
        <v>3.12261E-2</v>
      </c>
      <c r="I18" s="1">
        <v>1.1706490000000001</v>
      </c>
      <c r="J18" s="1">
        <v>0.47583350000000002</v>
      </c>
      <c r="K18" s="1">
        <v>0.99999910339929321</v>
      </c>
      <c r="L18" s="1">
        <f t="shared" si="2"/>
        <v>-0.49161082907814535</v>
      </c>
    </row>
    <row r="19" spans="1:12" x14ac:dyDescent="0.2">
      <c r="A19">
        <v>192</v>
      </c>
      <c r="B19" s="4" t="s">
        <v>8</v>
      </c>
      <c r="C19" s="4">
        <v>1</v>
      </c>
      <c r="D19" s="4">
        <f t="shared" si="0"/>
        <v>1</v>
      </c>
      <c r="E19" s="4">
        <f t="shared" si="1"/>
        <v>1</v>
      </c>
      <c r="F19" s="1">
        <v>0.33965990000000001</v>
      </c>
      <c r="G19" s="1">
        <v>0.17113719999999999</v>
      </c>
      <c r="H19" s="1">
        <v>9.5745800000000006E-2</v>
      </c>
      <c r="I19" s="1">
        <v>0.16033249999999999</v>
      </c>
      <c r="J19" s="1">
        <v>0.77600309999999995</v>
      </c>
      <c r="K19" s="1">
        <v>0.99988973053252617</v>
      </c>
      <c r="L19" s="1">
        <f t="shared" si="2"/>
        <v>6.053978354761802E-2</v>
      </c>
    </row>
    <row r="20" spans="1:12" x14ac:dyDescent="0.2">
      <c r="A20">
        <v>8</v>
      </c>
      <c r="B20" s="4" t="s">
        <v>5</v>
      </c>
      <c r="C20" s="4">
        <v>1</v>
      </c>
      <c r="D20" s="4">
        <f t="shared" si="0"/>
        <v>1</v>
      </c>
      <c r="E20" s="4">
        <f t="shared" si="1"/>
        <v>-1</v>
      </c>
      <c r="F20" s="1">
        <v>0.132908</v>
      </c>
      <c r="G20" s="1">
        <v>8.6620199999999994E-2</v>
      </c>
      <c r="H20" s="1">
        <v>1.9685399999999999E-2</v>
      </c>
      <c r="I20" s="1">
        <v>0.1168295</v>
      </c>
      <c r="J20" s="1">
        <v>0.23223869999999999</v>
      </c>
      <c r="K20" s="1">
        <v>1</v>
      </c>
      <c r="L20" s="1">
        <f t="shared" si="2"/>
        <v>-0.6917231178108102</v>
      </c>
    </row>
    <row r="21" spans="1:12" x14ac:dyDescent="0.2">
      <c r="A21">
        <v>14</v>
      </c>
      <c r="B21" s="4" t="s">
        <v>8</v>
      </c>
      <c r="C21" s="4">
        <v>1</v>
      </c>
      <c r="D21" s="4">
        <f t="shared" si="0"/>
        <v>1</v>
      </c>
      <c r="E21" s="4">
        <f t="shared" si="1"/>
        <v>1</v>
      </c>
      <c r="F21" s="1">
        <v>0.1104757</v>
      </c>
      <c r="G21" s="1">
        <v>-0.1969071</v>
      </c>
      <c r="H21" s="1">
        <v>3.14235E-2</v>
      </c>
      <c r="I21" s="1">
        <v>5.9797299999999998E-2</v>
      </c>
      <c r="J21" s="1">
        <v>0.51651599999999998</v>
      </c>
      <c r="K21" s="1">
        <v>0.10640530538211797</v>
      </c>
      <c r="L21" s="1">
        <f t="shared" si="2"/>
        <v>5.3614798429078903E-2</v>
      </c>
    </row>
    <row r="22" spans="1:12" x14ac:dyDescent="0.2">
      <c r="A22">
        <v>19</v>
      </c>
      <c r="B22" s="4" t="s">
        <v>5</v>
      </c>
      <c r="C22" s="4">
        <v>1</v>
      </c>
      <c r="D22" s="4">
        <f t="shared" si="0"/>
        <v>1</v>
      </c>
      <c r="E22" s="4">
        <f t="shared" si="1"/>
        <v>-1</v>
      </c>
      <c r="F22" s="1">
        <v>0.38147160000000002</v>
      </c>
      <c r="G22" s="1">
        <v>9.2574400000000001E-2</v>
      </c>
      <c r="H22" s="1">
        <v>5.6434900000000003E-2</v>
      </c>
      <c r="I22" s="1">
        <v>6.197883</v>
      </c>
      <c r="J22" s="1">
        <v>0.28487440000000003</v>
      </c>
      <c r="K22" s="1">
        <v>1</v>
      </c>
      <c r="L22" s="1">
        <f t="shared" si="2"/>
        <v>-0.83331863890368529</v>
      </c>
    </row>
    <row r="23" spans="1:12" x14ac:dyDescent="0.2">
      <c r="A23">
        <v>159</v>
      </c>
      <c r="B23" s="4" t="s">
        <v>4</v>
      </c>
      <c r="C23" s="4">
        <v>0</v>
      </c>
      <c r="D23" s="4">
        <f t="shared" si="0"/>
        <v>-1</v>
      </c>
      <c r="E23" s="4">
        <f t="shared" si="1"/>
        <v>-1</v>
      </c>
      <c r="F23" s="1">
        <v>9.2327999999999993E-2</v>
      </c>
      <c r="G23" s="1">
        <v>0.31948729999999997</v>
      </c>
      <c r="H23" s="1">
        <v>7.1702600000000005E-2</v>
      </c>
      <c r="I23" s="1">
        <v>1.03674</v>
      </c>
      <c r="J23" s="1">
        <v>0.39028059999999998</v>
      </c>
      <c r="K23" s="1">
        <v>0.10629791814591916</v>
      </c>
      <c r="L23" s="1">
        <f t="shared" si="2"/>
        <v>0.83175564845590788</v>
      </c>
    </row>
    <row r="24" spans="1:12" x14ac:dyDescent="0.2">
      <c r="A24">
        <v>99</v>
      </c>
      <c r="B24" s="4" t="s">
        <v>4</v>
      </c>
      <c r="C24" s="4">
        <v>0</v>
      </c>
      <c r="D24" s="4">
        <f t="shared" si="0"/>
        <v>-1</v>
      </c>
      <c r="E24" s="4">
        <f t="shared" si="1"/>
        <v>-1</v>
      </c>
      <c r="F24" s="1">
        <v>6.9240899999999994E-2</v>
      </c>
      <c r="G24" s="1">
        <v>0.18902430000000001</v>
      </c>
      <c r="H24" s="1">
        <v>1.00061E-2</v>
      </c>
      <c r="I24" s="1">
        <v>0.48543770000000003</v>
      </c>
      <c r="J24" s="1">
        <v>0.23297380000000001</v>
      </c>
      <c r="K24" s="1">
        <v>0.10207321217172942</v>
      </c>
      <c r="L24" s="1">
        <f t="shared" si="2"/>
        <v>0.9484229328053414</v>
      </c>
    </row>
    <row r="25" spans="1:12" x14ac:dyDescent="0.2">
      <c r="A25">
        <v>108</v>
      </c>
      <c r="B25" s="4" t="s">
        <v>4</v>
      </c>
      <c r="C25" s="4">
        <v>0</v>
      </c>
      <c r="D25" s="4">
        <f t="shared" si="0"/>
        <v>-1</v>
      </c>
      <c r="E25" s="4">
        <f t="shared" si="1"/>
        <v>-1</v>
      </c>
      <c r="F25" s="1">
        <v>0.38294689999999998</v>
      </c>
      <c r="G25" s="1">
        <v>0.53937539999999995</v>
      </c>
      <c r="H25" s="1">
        <v>6.0338999999999997E-2</v>
      </c>
      <c r="I25" s="1">
        <v>3.8905500000000002</v>
      </c>
      <c r="J25" s="1">
        <v>0.4134912</v>
      </c>
      <c r="K25" s="1">
        <v>8.0364000045131521E-7</v>
      </c>
      <c r="L25" s="1" t="str">
        <f t="shared" si="2"/>
        <v/>
      </c>
    </row>
    <row r="26" spans="1:12" x14ac:dyDescent="0.2">
      <c r="A26">
        <v>170</v>
      </c>
      <c r="B26" s="4" t="s">
        <v>4</v>
      </c>
      <c r="C26" s="4">
        <v>0</v>
      </c>
      <c r="D26" s="4">
        <f t="shared" si="0"/>
        <v>-1</v>
      </c>
      <c r="E26" s="4">
        <f t="shared" si="1"/>
        <v>-1</v>
      </c>
      <c r="F26" s="1">
        <v>-6.9149600000000006E-2</v>
      </c>
      <c r="G26" s="1">
        <v>8.2794300000000001E-2</v>
      </c>
      <c r="H26" s="1">
        <v>3.4941100000000003E-2</v>
      </c>
      <c r="I26" s="1">
        <v>0.33803060000000001</v>
      </c>
      <c r="J26" s="1">
        <v>0.2229237</v>
      </c>
      <c r="K26" s="1">
        <v>0.45068216982340487</v>
      </c>
      <c r="L26" s="1">
        <f t="shared" si="2"/>
        <v>0.86911822819841622</v>
      </c>
    </row>
    <row r="27" spans="1:12" x14ac:dyDescent="0.2">
      <c r="A27">
        <v>37</v>
      </c>
      <c r="B27" s="4" t="s">
        <v>4</v>
      </c>
      <c r="C27" s="4">
        <v>0</v>
      </c>
      <c r="D27" s="4">
        <f t="shared" si="0"/>
        <v>-1</v>
      </c>
      <c r="E27" s="4">
        <f t="shared" si="1"/>
        <v>1</v>
      </c>
      <c r="F27" s="1">
        <v>0.30688690000000002</v>
      </c>
      <c r="G27" s="1">
        <v>0.1919362</v>
      </c>
      <c r="H27" s="1">
        <v>3.00583E-2</v>
      </c>
      <c r="I27" s="1">
        <v>0.38701049999999998</v>
      </c>
      <c r="J27" s="1">
        <v>0.25343759999999999</v>
      </c>
      <c r="K27" s="1">
        <v>5.2870431125590675E-4</v>
      </c>
      <c r="L27" s="1" t="str">
        <f t="shared" si="2"/>
        <v/>
      </c>
    </row>
    <row r="28" spans="1:12" x14ac:dyDescent="0.2">
      <c r="A28">
        <v>199</v>
      </c>
      <c r="B28" s="4" t="s">
        <v>8</v>
      </c>
      <c r="C28" s="4">
        <v>1</v>
      </c>
      <c r="D28" s="4">
        <f t="shared" si="0"/>
        <v>1</v>
      </c>
      <c r="E28" s="4">
        <f t="shared" si="1"/>
        <v>-1</v>
      </c>
      <c r="F28" s="1">
        <v>-0.89924099999999996</v>
      </c>
      <c r="G28" s="1">
        <v>-0.52081789999999994</v>
      </c>
      <c r="H28" s="1">
        <v>3.6022100000000001E-2</v>
      </c>
      <c r="I28" s="1">
        <v>2.72822E-2</v>
      </c>
      <c r="J28" s="1">
        <v>0.58721610000000002</v>
      </c>
      <c r="K28" s="1">
        <v>0.15204519962660867</v>
      </c>
      <c r="L28" s="1">
        <f t="shared" si="2"/>
        <v>-1.3366777051263585</v>
      </c>
    </row>
    <row r="29" spans="1:12" x14ac:dyDescent="0.2">
      <c r="A29">
        <v>147</v>
      </c>
      <c r="B29" s="4" t="s">
        <v>4</v>
      </c>
      <c r="C29" s="4">
        <v>0</v>
      </c>
      <c r="D29" s="4">
        <f t="shared" si="0"/>
        <v>-1</v>
      </c>
      <c r="E29" s="4">
        <f t="shared" si="1"/>
        <v>-1</v>
      </c>
      <c r="F29" s="1">
        <v>3.4862700000000003E-2</v>
      </c>
      <c r="G29" s="1">
        <v>0.32329580000000002</v>
      </c>
      <c r="H29" s="1">
        <v>6.6376199999999996E-2</v>
      </c>
      <c r="I29" s="1">
        <v>1.5504169999999999</v>
      </c>
      <c r="J29" s="1">
        <v>0.14436460000000001</v>
      </c>
      <c r="K29" s="1">
        <v>3.2209777038149327E-4</v>
      </c>
      <c r="L29" s="1" t="str">
        <f t="shared" si="2"/>
        <v/>
      </c>
    </row>
    <row r="30" spans="1:12" x14ac:dyDescent="0.2">
      <c r="A30">
        <v>168</v>
      </c>
      <c r="B30" s="4" t="s">
        <v>4</v>
      </c>
      <c r="C30" s="4">
        <v>0</v>
      </c>
      <c r="D30" s="4">
        <f t="shared" si="0"/>
        <v>-1</v>
      </c>
      <c r="E30" s="4">
        <f t="shared" si="1"/>
        <v>-1</v>
      </c>
      <c r="F30" s="1">
        <v>4.40983E-2</v>
      </c>
      <c r="G30" s="1">
        <v>0.66985399999999995</v>
      </c>
      <c r="H30" s="1">
        <v>6.40931E-2</v>
      </c>
      <c r="I30" s="1">
        <v>2.2190319999999999</v>
      </c>
      <c r="J30" s="1">
        <v>0.23801530000000001</v>
      </c>
      <c r="K30" s="1">
        <v>0.11408394247884833</v>
      </c>
      <c r="L30" s="1">
        <f t="shared" si="2"/>
        <v>-0.18766803219959827</v>
      </c>
    </row>
    <row r="31" spans="1:12" x14ac:dyDescent="0.2">
      <c r="A31">
        <v>100</v>
      </c>
      <c r="B31" s="4" t="s">
        <v>5</v>
      </c>
      <c r="C31" s="4">
        <v>0</v>
      </c>
      <c r="D31" s="4">
        <f t="shared" si="0"/>
        <v>-1</v>
      </c>
      <c r="E31" s="4">
        <f t="shared" si="1"/>
        <v>-1</v>
      </c>
      <c r="F31" s="1">
        <v>8.7579000000000004E-2</v>
      </c>
      <c r="G31" s="1">
        <v>0.1637554</v>
      </c>
      <c r="H31" s="1">
        <v>-1.03053E-2</v>
      </c>
      <c r="I31" s="1">
        <v>0.4010454</v>
      </c>
      <c r="J31" s="1">
        <v>0.19163160000000001</v>
      </c>
      <c r="K31" s="1">
        <v>1.7616046298099168E-3</v>
      </c>
      <c r="L31" s="1" t="str">
        <f t="shared" si="2"/>
        <v/>
      </c>
    </row>
    <row r="32" spans="1:12" x14ac:dyDescent="0.2">
      <c r="A32">
        <v>220</v>
      </c>
      <c r="B32" s="4" t="s">
        <v>8</v>
      </c>
      <c r="C32" s="4">
        <v>1</v>
      </c>
      <c r="D32" s="4">
        <f t="shared" si="0"/>
        <v>1</v>
      </c>
      <c r="E32" s="4">
        <f t="shared" si="1"/>
        <v>1</v>
      </c>
      <c r="F32" s="1">
        <v>2.3043999999999999E-2</v>
      </c>
      <c r="G32" s="1">
        <v>-0.26934989999999998</v>
      </c>
      <c r="H32" s="1">
        <v>2.7171000000000001E-3</v>
      </c>
      <c r="I32" s="1">
        <v>0.15356639999999999</v>
      </c>
      <c r="J32" s="1">
        <v>0.33865889999999998</v>
      </c>
      <c r="K32" s="1">
        <v>0.12066526272253644</v>
      </c>
      <c r="L32" s="1">
        <f t="shared" si="2"/>
        <v>-0.16167756642808684</v>
      </c>
    </row>
    <row r="33" spans="1:12" x14ac:dyDescent="0.2">
      <c r="A33">
        <v>2</v>
      </c>
      <c r="B33" s="4" t="s">
        <v>8</v>
      </c>
      <c r="C33" s="4">
        <v>1</v>
      </c>
      <c r="D33" s="4">
        <f t="shared" si="0"/>
        <v>1</v>
      </c>
      <c r="E33" s="4">
        <f t="shared" si="1"/>
        <v>1</v>
      </c>
      <c r="F33" s="1">
        <v>7.7681299999999995E-2</v>
      </c>
      <c r="G33" s="1">
        <v>-3.9594499999999998E-2</v>
      </c>
      <c r="H33" s="1">
        <v>-2.15026E-2</v>
      </c>
      <c r="I33" s="1">
        <v>0.1375913</v>
      </c>
      <c r="J33" s="1">
        <v>0.6972486</v>
      </c>
      <c r="K33" s="1">
        <v>0.11641109259554257</v>
      </c>
      <c r="L33" s="1">
        <f t="shared" si="2"/>
        <v>-0.14544436627441326</v>
      </c>
    </row>
    <row r="34" spans="1:12" x14ac:dyDescent="0.2">
      <c r="A34">
        <v>109</v>
      </c>
      <c r="B34" s="4" t="s">
        <v>4</v>
      </c>
      <c r="C34" s="4">
        <v>0</v>
      </c>
      <c r="D34" s="4">
        <f t="shared" si="0"/>
        <v>-1</v>
      </c>
      <c r="E34" s="4">
        <f t="shared" si="1"/>
        <v>-1</v>
      </c>
      <c r="F34" s="1">
        <v>0.30503479999999999</v>
      </c>
      <c r="G34" s="1">
        <v>0.58095090000000005</v>
      </c>
      <c r="H34" s="1">
        <v>7.0576700000000006E-2</v>
      </c>
      <c r="I34" s="1">
        <v>5.3113760000000001</v>
      </c>
      <c r="J34" s="1">
        <v>0.44750600000000001</v>
      </c>
      <c r="K34" s="1">
        <v>8.6404389650923494E-2</v>
      </c>
      <c r="L34" s="1">
        <f t="shared" si="2"/>
        <v>0.35272592156959059</v>
      </c>
    </row>
    <row r="35" spans="1:12" x14ac:dyDescent="0.2">
      <c r="A35">
        <v>124</v>
      </c>
      <c r="B35" s="4" t="s">
        <v>4</v>
      </c>
      <c r="C35" s="4">
        <v>0</v>
      </c>
      <c r="D35" s="4">
        <f t="shared" si="0"/>
        <v>-1</v>
      </c>
      <c r="E35" s="4">
        <f t="shared" si="1"/>
        <v>-1</v>
      </c>
      <c r="F35" s="1">
        <v>6.5885100000000002E-2</v>
      </c>
      <c r="G35" s="1">
        <v>0.1044736</v>
      </c>
      <c r="H35" s="1">
        <v>4.7061499999999999E-2</v>
      </c>
      <c r="I35" s="1">
        <v>0.24623819999999999</v>
      </c>
      <c r="J35" s="1">
        <v>0.23633709999999999</v>
      </c>
      <c r="K35" s="1">
        <v>0.21571979877868197</v>
      </c>
      <c r="L35" s="1">
        <f t="shared" si="2"/>
        <v>1.1261151672073724</v>
      </c>
    </row>
    <row r="36" spans="1:12" x14ac:dyDescent="0.2">
      <c r="A36">
        <v>219</v>
      </c>
      <c r="B36" s="4" t="s">
        <v>7</v>
      </c>
      <c r="C36" s="4">
        <v>1</v>
      </c>
      <c r="D36" s="4">
        <f t="shared" si="0"/>
        <v>1</v>
      </c>
      <c r="E36" s="4">
        <f t="shared" si="1"/>
        <v>1</v>
      </c>
      <c r="F36" s="1">
        <v>0.20207610000000001</v>
      </c>
      <c r="G36" s="1">
        <v>5.2325200000000002E-2</v>
      </c>
      <c r="H36" s="1">
        <v>1.0134900000000001E-2</v>
      </c>
      <c r="I36" s="1">
        <v>0.26838800000000002</v>
      </c>
      <c r="J36" s="1">
        <v>0.28150449999999999</v>
      </c>
      <c r="K36" s="1">
        <v>1</v>
      </c>
      <c r="L36" s="1">
        <f t="shared" si="2"/>
        <v>-0.45857145282422418</v>
      </c>
    </row>
    <row r="37" spans="1:12" x14ac:dyDescent="0.2">
      <c r="A37">
        <v>25</v>
      </c>
      <c r="B37" s="4" t="s">
        <v>8</v>
      </c>
      <c r="C37" s="4">
        <v>1</v>
      </c>
      <c r="D37" s="4">
        <f t="shared" si="0"/>
        <v>1</v>
      </c>
      <c r="E37" s="4">
        <f t="shared" si="1"/>
        <v>1</v>
      </c>
      <c r="F37" s="1">
        <v>0.20525060000000001</v>
      </c>
      <c r="G37" s="1">
        <v>-2.0273180000000002</v>
      </c>
      <c r="H37" s="1">
        <v>9.6336699999999997E-2</v>
      </c>
      <c r="I37" s="1">
        <v>9.9910799999999994E-2</v>
      </c>
      <c r="J37" s="1">
        <v>0.14711089999999999</v>
      </c>
      <c r="K37" s="1">
        <v>0</v>
      </c>
      <c r="L37" s="1" t="str">
        <f t="shared" si="2"/>
        <v/>
      </c>
    </row>
    <row r="38" spans="1:12" x14ac:dyDescent="0.2">
      <c r="A38">
        <v>80</v>
      </c>
      <c r="B38" s="4" t="s">
        <v>4</v>
      </c>
      <c r="C38" s="4">
        <v>0</v>
      </c>
      <c r="D38" s="4">
        <f t="shared" si="0"/>
        <v>-1</v>
      </c>
      <c r="E38" s="4">
        <f t="shared" si="1"/>
        <v>-1</v>
      </c>
      <c r="F38" s="1">
        <v>0.28196789999999999</v>
      </c>
      <c r="G38" s="1">
        <v>0.17731520000000001</v>
      </c>
      <c r="H38" s="1">
        <v>3.9518999999999999E-2</v>
      </c>
      <c r="I38" s="1">
        <v>0.1706754</v>
      </c>
      <c r="J38" s="1">
        <v>0.1653472</v>
      </c>
      <c r="K38" s="1">
        <v>9.7434081935852367E-3</v>
      </c>
      <c r="L38" s="1" t="str">
        <f t="shared" si="2"/>
        <v/>
      </c>
    </row>
    <row r="39" spans="1:12" x14ac:dyDescent="0.2">
      <c r="A39">
        <v>58</v>
      </c>
      <c r="B39" s="4" t="s">
        <v>4</v>
      </c>
      <c r="C39" s="4">
        <v>0</v>
      </c>
      <c r="D39" s="4">
        <f t="shared" si="0"/>
        <v>-1</v>
      </c>
      <c r="E39" s="4">
        <f t="shared" si="1"/>
        <v>-1</v>
      </c>
      <c r="F39" s="1">
        <v>4.7898799999999998E-2</v>
      </c>
      <c r="G39" s="1">
        <v>0.31650410000000001</v>
      </c>
      <c r="H39" s="1">
        <v>8.3631700000000003E-2</v>
      </c>
      <c r="I39" s="1">
        <v>6.1182309999999998</v>
      </c>
      <c r="J39" s="1">
        <v>0.2136721</v>
      </c>
      <c r="K39" s="1">
        <v>0</v>
      </c>
      <c r="L39" s="1" t="str">
        <f t="shared" si="2"/>
        <v/>
      </c>
    </row>
    <row r="40" spans="1:12" x14ac:dyDescent="0.2">
      <c r="A40">
        <v>110</v>
      </c>
      <c r="B40" s="4" t="s">
        <v>5</v>
      </c>
      <c r="C40" s="4">
        <v>0</v>
      </c>
      <c r="D40" s="4">
        <f t="shared" si="0"/>
        <v>-1</v>
      </c>
      <c r="E40" s="4">
        <f t="shared" si="1"/>
        <v>-1</v>
      </c>
      <c r="F40" s="1">
        <v>6.8725700000000001E-2</v>
      </c>
      <c r="G40" s="1">
        <v>0.35258</v>
      </c>
      <c r="H40" s="1">
        <v>6.6547499999999996E-2</v>
      </c>
      <c r="I40" s="1">
        <v>1.318611</v>
      </c>
      <c r="J40" s="1">
        <v>0.66784520000000003</v>
      </c>
      <c r="K40" s="1">
        <v>0.44094039917375483</v>
      </c>
      <c r="L40" s="1">
        <f t="shared" si="2"/>
        <v>0.94446931902670195</v>
      </c>
    </row>
    <row r="41" spans="1:12" x14ac:dyDescent="0.2">
      <c r="A41">
        <v>4</v>
      </c>
      <c r="B41" s="4" t="s">
        <v>7</v>
      </c>
      <c r="C41" s="4">
        <v>1</v>
      </c>
      <c r="D41" s="4">
        <f t="shared" ref="D41:D72" si="3">C41*2-1</f>
        <v>1</v>
      </c>
      <c r="E41" s="4">
        <f t="shared" si="1"/>
        <v>1</v>
      </c>
      <c r="F41" s="1">
        <v>0.23901249999999999</v>
      </c>
      <c r="G41" s="1">
        <v>-0.20424970000000001</v>
      </c>
      <c r="H41" s="1">
        <v>2.2092199999999999E-2</v>
      </c>
      <c r="I41" s="1">
        <v>4.7139899999999998E-2</v>
      </c>
      <c r="J41" s="1">
        <v>0.23221439999999999</v>
      </c>
      <c r="K41" s="1">
        <v>0.99997976454075477</v>
      </c>
      <c r="L41" s="1">
        <f t="shared" si="2"/>
        <v>7.1564804784309377E-2</v>
      </c>
    </row>
    <row r="42" spans="1:12" x14ac:dyDescent="0.2">
      <c r="A42">
        <v>54</v>
      </c>
      <c r="B42" s="4" t="s">
        <v>4</v>
      </c>
      <c r="C42" s="4">
        <v>0</v>
      </c>
      <c r="D42" s="4">
        <f t="shared" si="3"/>
        <v>-1</v>
      </c>
      <c r="E42" s="4">
        <f t="shared" si="1"/>
        <v>-1</v>
      </c>
      <c r="F42" s="1">
        <v>9.7894999999999996E-3</v>
      </c>
      <c r="G42" s="1">
        <v>0.14604919999999999</v>
      </c>
      <c r="H42" s="1">
        <v>4.2586600000000002E-2</v>
      </c>
      <c r="I42" s="1">
        <v>0.57736209999999999</v>
      </c>
      <c r="J42" s="1">
        <v>0.1117286</v>
      </c>
      <c r="K42" s="1">
        <v>0.15379159931922939</v>
      </c>
      <c r="L42" s="1">
        <f t="shared" si="2"/>
        <v>0.78387784028682961</v>
      </c>
    </row>
    <row r="43" spans="1:12" x14ac:dyDescent="0.2">
      <c r="A43">
        <v>163</v>
      </c>
      <c r="B43" s="4" t="s">
        <v>4</v>
      </c>
      <c r="C43" s="4">
        <v>0</v>
      </c>
      <c r="D43" s="4">
        <f t="shared" si="3"/>
        <v>-1</v>
      </c>
      <c r="E43" s="4">
        <f t="shared" si="1"/>
        <v>-1</v>
      </c>
      <c r="F43" s="1">
        <v>1.0224E-2</v>
      </c>
      <c r="G43" s="1">
        <v>0.24878549999999999</v>
      </c>
      <c r="H43" s="1">
        <v>5.1870899999999998E-2</v>
      </c>
      <c r="I43" s="1">
        <v>0.73559430000000003</v>
      </c>
      <c r="J43" s="1">
        <v>0.3130597</v>
      </c>
      <c r="K43" s="1">
        <v>0.12621771143507099</v>
      </c>
      <c r="L43" s="1">
        <f t="shared" si="2"/>
        <v>0.7598868577234833</v>
      </c>
    </row>
    <row r="44" spans="1:12" x14ac:dyDescent="0.2">
      <c r="A44">
        <v>39</v>
      </c>
      <c r="B44" s="4" t="s">
        <v>5</v>
      </c>
      <c r="C44" s="4">
        <v>0</v>
      </c>
      <c r="D44" s="4">
        <f t="shared" si="3"/>
        <v>-1</v>
      </c>
      <c r="E44" s="4">
        <f t="shared" si="1"/>
        <v>1</v>
      </c>
      <c r="F44" s="1">
        <v>0.45761869999999999</v>
      </c>
      <c r="G44" s="1">
        <v>0.2240644</v>
      </c>
      <c r="H44" s="1">
        <v>3.18383E-2</v>
      </c>
      <c r="I44" s="1">
        <v>1.2881370000000001</v>
      </c>
      <c r="J44" s="1">
        <v>0.31819269999999999</v>
      </c>
      <c r="K44" s="1">
        <v>1.8999120261476072E-3</v>
      </c>
      <c r="L44" s="1" t="str">
        <f t="shared" si="2"/>
        <v/>
      </c>
    </row>
    <row r="45" spans="1:12" x14ac:dyDescent="0.2">
      <c r="A45">
        <v>212</v>
      </c>
      <c r="B45" s="3" t="s">
        <v>6</v>
      </c>
      <c r="C45" s="3">
        <v>1</v>
      </c>
      <c r="D45" s="4">
        <f t="shared" si="3"/>
        <v>1</v>
      </c>
      <c r="E45" s="4">
        <f t="shared" si="1"/>
        <v>-1</v>
      </c>
      <c r="F45" s="1">
        <v>6.5566100000000002E-2</v>
      </c>
      <c r="G45" s="1">
        <v>-0.1137388</v>
      </c>
      <c r="H45" s="1">
        <v>3.6023600000000003E-2</v>
      </c>
      <c r="I45" s="1">
        <v>3.76323E-2</v>
      </c>
      <c r="J45" s="1">
        <v>0.11636009999999999</v>
      </c>
      <c r="K45" s="1">
        <v>0.99999999999999989</v>
      </c>
      <c r="L45" s="1">
        <f t="shared" si="2"/>
        <v>-0.55548239223290019</v>
      </c>
    </row>
    <row r="46" spans="1:12" x14ac:dyDescent="0.2">
      <c r="A46">
        <v>67</v>
      </c>
      <c r="B46" s="4" t="s">
        <v>5</v>
      </c>
      <c r="C46" s="4">
        <v>0</v>
      </c>
      <c r="D46" s="4">
        <f t="shared" si="3"/>
        <v>-1</v>
      </c>
      <c r="E46" s="4">
        <f t="shared" si="1"/>
        <v>-1</v>
      </c>
      <c r="F46" s="1">
        <v>2.1824400000000001E-2</v>
      </c>
      <c r="G46" s="1">
        <v>-2.86293E-2</v>
      </c>
      <c r="H46" s="1">
        <v>3.01915E-2</v>
      </c>
      <c r="I46" s="1">
        <v>0.64877669999999998</v>
      </c>
      <c r="J46" s="1">
        <v>0.1750746</v>
      </c>
      <c r="K46" s="1">
        <v>0.57646725490611905</v>
      </c>
      <c r="L46" s="1">
        <f t="shared" si="2"/>
        <v>1.1828429085012817</v>
      </c>
    </row>
    <row r="47" spans="1:12" x14ac:dyDescent="0.2">
      <c r="A47">
        <v>69</v>
      </c>
      <c r="B47" s="4" t="s">
        <v>4</v>
      </c>
      <c r="C47" s="4">
        <v>0</v>
      </c>
      <c r="D47" s="4">
        <f t="shared" si="3"/>
        <v>-1</v>
      </c>
      <c r="E47" s="4">
        <f t="shared" si="1"/>
        <v>-1</v>
      </c>
      <c r="F47" s="1">
        <v>5.31902E-2</v>
      </c>
      <c r="G47" s="1">
        <v>0.2398293</v>
      </c>
      <c r="H47" s="1">
        <v>2.7088399999999999E-2</v>
      </c>
      <c r="I47" s="1">
        <v>0.46290029999999999</v>
      </c>
      <c r="J47" s="1">
        <v>0.1379696</v>
      </c>
      <c r="K47" s="1">
        <v>1.6085823512570405E-2</v>
      </c>
      <c r="L47" s="1">
        <f t="shared" si="2"/>
        <v>0.73624453820703195</v>
      </c>
    </row>
    <row r="48" spans="1:12" x14ac:dyDescent="0.2">
      <c r="A48">
        <v>184</v>
      </c>
      <c r="B48" s="4" t="s">
        <v>8</v>
      </c>
      <c r="C48" s="4">
        <v>0</v>
      </c>
      <c r="D48" s="4">
        <f t="shared" si="3"/>
        <v>-1</v>
      </c>
      <c r="E48" s="4">
        <f t="shared" si="1"/>
        <v>1</v>
      </c>
      <c r="F48" s="1">
        <v>0.35149849999999999</v>
      </c>
      <c r="G48" s="1">
        <v>-0.24085329999999999</v>
      </c>
      <c r="H48" s="1">
        <v>-0.36208269999999998</v>
      </c>
      <c r="I48" s="1">
        <v>1.715727</v>
      </c>
      <c r="J48" s="1">
        <v>3.6211599999999997E-2</v>
      </c>
      <c r="K48" s="1">
        <v>0.22717469291764419</v>
      </c>
      <c r="L48" s="1">
        <f t="shared" si="2"/>
        <v>2.0247716285081934</v>
      </c>
    </row>
    <row r="49" spans="1:12" x14ac:dyDescent="0.2">
      <c r="A49">
        <v>180</v>
      </c>
      <c r="B49" s="4" t="s">
        <v>7</v>
      </c>
      <c r="C49" s="4">
        <v>0</v>
      </c>
      <c r="D49" s="4">
        <f t="shared" si="3"/>
        <v>-1</v>
      </c>
      <c r="E49" s="4">
        <f t="shared" si="1"/>
        <v>-1</v>
      </c>
      <c r="F49" s="1">
        <v>-0.11472830000000001</v>
      </c>
      <c r="G49" s="1">
        <v>-0.1186598</v>
      </c>
      <c r="H49" s="1">
        <v>3.08919E-2</v>
      </c>
      <c r="I49" s="1">
        <v>0.14964459999999999</v>
      </c>
      <c r="J49" s="1">
        <v>0.31572230000000001</v>
      </c>
      <c r="K49" s="1">
        <v>0.76471001540330108</v>
      </c>
      <c r="L49" s="1">
        <f t="shared" si="2"/>
        <v>1.2558612270482079</v>
      </c>
    </row>
    <row r="50" spans="1:12" x14ac:dyDescent="0.2">
      <c r="A50">
        <v>207</v>
      </c>
      <c r="B50" s="4" t="s">
        <v>4</v>
      </c>
      <c r="C50" s="4">
        <v>0</v>
      </c>
      <c r="D50" s="4">
        <f t="shared" si="3"/>
        <v>-1</v>
      </c>
      <c r="E50" s="4">
        <f t="shared" si="1"/>
        <v>-1</v>
      </c>
      <c r="F50" s="1">
        <v>6.96933E-2</v>
      </c>
      <c r="G50" s="1">
        <v>0.44534899999999999</v>
      </c>
      <c r="H50" s="1">
        <v>6.2195899999999998E-2</v>
      </c>
      <c r="I50" s="1">
        <v>1.788964</v>
      </c>
      <c r="J50" s="1">
        <v>0.19909969999999999</v>
      </c>
      <c r="K50" s="1">
        <v>4.0568791654041848E-2</v>
      </c>
      <c r="L50" s="1">
        <f t="shared" si="2"/>
        <v>0.29363961589105358</v>
      </c>
    </row>
    <row r="51" spans="1:12" x14ac:dyDescent="0.2">
      <c r="A51">
        <v>134</v>
      </c>
      <c r="B51" s="4" t="s">
        <v>4</v>
      </c>
      <c r="C51" s="4">
        <v>0</v>
      </c>
      <c r="D51" s="4">
        <f t="shared" si="3"/>
        <v>-1</v>
      </c>
      <c r="E51" s="4">
        <f t="shared" si="1"/>
        <v>-1</v>
      </c>
      <c r="F51" s="1">
        <v>0.1157979</v>
      </c>
      <c r="G51" s="1">
        <v>0.44529970000000002</v>
      </c>
      <c r="H51" s="1">
        <v>6.1388600000000001E-2</v>
      </c>
      <c r="I51" s="1">
        <v>3.0831719999999998</v>
      </c>
      <c r="J51" s="1">
        <v>0.28503699999999998</v>
      </c>
      <c r="K51" s="1">
        <v>0.32822095133226759</v>
      </c>
      <c r="L51" s="1">
        <f t="shared" si="2"/>
        <v>0.32086627906082943</v>
      </c>
    </row>
    <row r="52" spans="1:12" x14ac:dyDescent="0.2">
      <c r="A52">
        <v>71</v>
      </c>
      <c r="B52" s="4" t="s">
        <v>4</v>
      </c>
      <c r="C52" s="4">
        <v>0</v>
      </c>
      <c r="D52" s="4">
        <f t="shared" si="3"/>
        <v>-1</v>
      </c>
      <c r="E52" s="4">
        <f t="shared" si="1"/>
        <v>-1</v>
      </c>
      <c r="F52" s="1">
        <v>0.14048840000000001</v>
      </c>
      <c r="G52" s="1">
        <v>0.23074790000000001</v>
      </c>
      <c r="H52" s="1">
        <v>5.3958800000000001E-2</v>
      </c>
      <c r="I52" s="1">
        <v>1.802133</v>
      </c>
      <c r="J52" s="1">
        <v>0.25492979999999998</v>
      </c>
      <c r="K52" s="1">
        <v>0.24194595803505156</v>
      </c>
      <c r="L52" s="1">
        <f t="shared" si="2"/>
        <v>0.8858675779714954</v>
      </c>
    </row>
    <row r="53" spans="1:12" x14ac:dyDescent="0.2">
      <c r="A53">
        <v>83</v>
      </c>
      <c r="B53" s="4" t="s">
        <v>8</v>
      </c>
      <c r="C53" s="4">
        <v>1</v>
      </c>
      <c r="D53" s="4">
        <f t="shared" si="3"/>
        <v>1</v>
      </c>
      <c r="E53" s="4">
        <f t="shared" si="1"/>
        <v>1</v>
      </c>
      <c r="F53" s="1">
        <v>0.17956050000000001</v>
      </c>
      <c r="G53" s="1">
        <v>-2.22626E-2</v>
      </c>
      <c r="H53" s="1">
        <v>2.50937E-2</v>
      </c>
      <c r="I53" s="1">
        <v>0.27645599999999998</v>
      </c>
      <c r="J53" s="1">
        <v>0.64183299999999999</v>
      </c>
      <c r="K53" s="1">
        <v>0.11702510057504065</v>
      </c>
      <c r="L53" s="1">
        <f t="shared" si="2"/>
        <v>-3.8808024702123189E-2</v>
      </c>
    </row>
    <row r="54" spans="1:12" x14ac:dyDescent="0.2">
      <c r="A54">
        <v>119</v>
      </c>
      <c r="B54" s="4" t="s">
        <v>4</v>
      </c>
      <c r="C54" s="4">
        <v>0</v>
      </c>
      <c r="D54" s="4">
        <f t="shared" si="3"/>
        <v>-1</v>
      </c>
      <c r="E54" s="4">
        <f t="shared" si="1"/>
        <v>-1</v>
      </c>
      <c r="F54" s="1">
        <v>8.5588899999999996E-2</v>
      </c>
      <c r="G54" s="1">
        <v>0.25644640000000002</v>
      </c>
      <c r="H54" s="1">
        <v>5.0042200000000002E-2</v>
      </c>
      <c r="I54" s="1">
        <v>1.0840989999999999</v>
      </c>
      <c r="J54" s="1">
        <v>0.20877589999999999</v>
      </c>
      <c r="K54" s="1">
        <v>8.349099182852833E-2</v>
      </c>
      <c r="L54" s="1">
        <f t="shared" si="2"/>
        <v>0.76503246794807345</v>
      </c>
    </row>
    <row r="55" spans="1:12" x14ac:dyDescent="0.2">
      <c r="A55">
        <v>21</v>
      </c>
      <c r="B55" s="4" t="s">
        <v>7</v>
      </c>
      <c r="C55" s="4">
        <v>1</v>
      </c>
      <c r="D55" s="4">
        <f t="shared" si="3"/>
        <v>1</v>
      </c>
      <c r="E55" s="4">
        <f t="shared" si="1"/>
        <v>1</v>
      </c>
      <c r="F55" s="1">
        <v>0.146596</v>
      </c>
      <c r="G55" s="1">
        <v>-0.35101759999999999</v>
      </c>
      <c r="H55" s="1">
        <v>1.9618099999999999E-2</v>
      </c>
      <c r="I55" s="1">
        <v>0.1599351</v>
      </c>
      <c r="J55" s="1">
        <v>0.22808210000000001</v>
      </c>
      <c r="K55" s="1">
        <v>0.10510745111900015</v>
      </c>
      <c r="L55" s="1">
        <f t="shared" si="2"/>
        <v>0.13893375890676718</v>
      </c>
    </row>
    <row r="56" spans="1:12" x14ac:dyDescent="0.2">
      <c r="A56">
        <v>74</v>
      </c>
      <c r="B56" s="4" t="s">
        <v>5</v>
      </c>
      <c r="C56" s="4">
        <v>0</v>
      </c>
      <c r="D56" s="4">
        <f t="shared" si="3"/>
        <v>-1</v>
      </c>
      <c r="E56" s="4">
        <f t="shared" si="1"/>
        <v>-1</v>
      </c>
      <c r="F56" s="1">
        <v>0.1541534</v>
      </c>
      <c r="G56" s="1">
        <v>0.1474664</v>
      </c>
      <c r="H56" s="1">
        <v>-2.0901400000000001E-2</v>
      </c>
      <c r="I56" s="1">
        <v>0.74257200000000001</v>
      </c>
      <c r="J56" s="1">
        <v>0.1434946</v>
      </c>
      <c r="K56" s="1">
        <v>0.35652547238806748</v>
      </c>
      <c r="L56" s="1">
        <f t="shared" si="2"/>
        <v>1.089784821559648</v>
      </c>
    </row>
    <row r="57" spans="1:12" x14ac:dyDescent="0.2">
      <c r="A57">
        <v>10</v>
      </c>
      <c r="B57" s="4" t="s">
        <v>7</v>
      </c>
      <c r="C57" s="4">
        <v>1</v>
      </c>
      <c r="D57" s="4">
        <f t="shared" si="3"/>
        <v>1</v>
      </c>
      <c r="E57" s="4">
        <f t="shared" si="1"/>
        <v>1</v>
      </c>
      <c r="F57" s="1">
        <v>-4.4067099999999998E-2</v>
      </c>
      <c r="G57" s="1">
        <v>-0.25792500000000002</v>
      </c>
      <c r="H57" s="1">
        <v>5.03978E-2</v>
      </c>
      <c r="I57" s="1">
        <v>0.30961729999999998</v>
      </c>
      <c r="J57" s="1">
        <v>0.17560439999999999</v>
      </c>
      <c r="K57" s="1">
        <v>0.13808030232032067</v>
      </c>
      <c r="L57" s="1">
        <f t="shared" si="2"/>
        <v>-0.4889839133883036</v>
      </c>
    </row>
    <row r="58" spans="1:12" x14ac:dyDescent="0.2">
      <c r="A58">
        <v>11</v>
      </c>
      <c r="B58" s="4" t="s">
        <v>8</v>
      </c>
      <c r="C58" s="4">
        <v>1</v>
      </c>
      <c r="D58" s="4">
        <f t="shared" si="3"/>
        <v>1</v>
      </c>
      <c r="E58" s="4">
        <f t="shared" si="1"/>
        <v>1</v>
      </c>
      <c r="F58" s="1">
        <v>0.2933405</v>
      </c>
      <c r="G58" s="1">
        <v>-0.48168539999999999</v>
      </c>
      <c r="H58" s="1">
        <v>8.2482600000000003E-2</v>
      </c>
      <c r="I58" s="1">
        <v>1.7309209999999999</v>
      </c>
      <c r="J58" s="1">
        <v>0.24845690000000001</v>
      </c>
      <c r="K58" s="1">
        <v>0.99999756096299752</v>
      </c>
      <c r="L58" s="1">
        <f t="shared" si="2"/>
        <v>0.51880341784895689</v>
      </c>
    </row>
    <row r="59" spans="1:12" x14ac:dyDescent="0.2">
      <c r="A59">
        <v>23</v>
      </c>
      <c r="B59" s="4" t="s">
        <v>8</v>
      </c>
      <c r="C59" s="4">
        <v>1</v>
      </c>
      <c r="D59" s="4">
        <f t="shared" si="3"/>
        <v>1</v>
      </c>
      <c r="E59" s="4">
        <f t="shared" si="1"/>
        <v>-1</v>
      </c>
      <c r="F59" s="1">
        <v>-2.0411229999999998</v>
      </c>
      <c r="G59" s="1">
        <v>-2.4018609999999998</v>
      </c>
      <c r="H59" s="1">
        <v>-0.59182129999999999</v>
      </c>
      <c r="I59" s="1">
        <v>8.2829600000000003E-2</v>
      </c>
      <c r="J59" s="1">
        <v>0.1204012</v>
      </c>
      <c r="K59" s="1">
        <v>0.13206546870004085</v>
      </c>
      <c r="L59" s="1">
        <f t="shared" si="2"/>
        <v>-0.57335341746076707</v>
      </c>
    </row>
    <row r="60" spans="1:12" x14ac:dyDescent="0.2">
      <c r="A60">
        <v>188</v>
      </c>
      <c r="B60" s="4" t="s">
        <v>8</v>
      </c>
      <c r="C60" s="4">
        <v>1</v>
      </c>
      <c r="D60" s="4">
        <f t="shared" si="3"/>
        <v>1</v>
      </c>
      <c r="E60" s="4">
        <f t="shared" si="1"/>
        <v>1</v>
      </c>
      <c r="F60" s="1">
        <v>6.5524899999999997E-2</v>
      </c>
      <c r="G60" s="1">
        <v>-0.22874269999999999</v>
      </c>
      <c r="H60" s="1">
        <v>-0.13054180000000001</v>
      </c>
      <c r="I60" s="1">
        <v>0.83395680000000005</v>
      </c>
      <c r="J60" s="1">
        <v>9.4177800000000006E-2</v>
      </c>
      <c r="K60" s="1">
        <v>0.14424271944833597</v>
      </c>
      <c r="L60" s="1">
        <f t="shared" si="2"/>
        <v>-0.44232273364832186</v>
      </c>
    </row>
    <row r="61" spans="1:12" x14ac:dyDescent="0.2">
      <c r="A61">
        <v>176</v>
      </c>
      <c r="B61" s="4" t="s">
        <v>4</v>
      </c>
      <c r="C61" s="4">
        <v>1</v>
      </c>
      <c r="D61" s="4">
        <f t="shared" si="3"/>
        <v>1</v>
      </c>
      <c r="E61" s="4">
        <f t="shared" si="1"/>
        <v>-1</v>
      </c>
      <c r="F61" s="1">
        <v>0.1314583</v>
      </c>
      <c r="G61" s="1">
        <v>0.20124300000000001</v>
      </c>
      <c r="H61" s="1">
        <v>5.6275899999999997E-2</v>
      </c>
      <c r="I61" s="1">
        <v>1.958129</v>
      </c>
      <c r="J61" s="1">
        <v>0.29107889999999997</v>
      </c>
      <c r="K61" s="1">
        <v>1</v>
      </c>
      <c r="L61" s="1">
        <f t="shared" si="2"/>
        <v>-1.0624836490354053</v>
      </c>
    </row>
    <row r="62" spans="1:12" x14ac:dyDescent="0.2">
      <c r="A62">
        <v>118</v>
      </c>
      <c r="B62" s="4" t="s">
        <v>4</v>
      </c>
      <c r="C62" s="4">
        <v>0</v>
      </c>
      <c r="D62" s="4">
        <f t="shared" si="3"/>
        <v>-1</v>
      </c>
      <c r="E62" s="4">
        <f t="shared" si="1"/>
        <v>-1</v>
      </c>
      <c r="F62" s="1">
        <v>4.85055E-2</v>
      </c>
      <c r="G62" s="1">
        <v>0.26421830000000002</v>
      </c>
      <c r="H62" s="1">
        <v>4.0108900000000003E-2</v>
      </c>
      <c r="I62" s="1">
        <v>1.3496159999999999</v>
      </c>
      <c r="J62" s="1">
        <v>0.20859140000000001</v>
      </c>
      <c r="K62" s="1">
        <v>0.27702236661126661</v>
      </c>
      <c r="L62" s="1">
        <f t="shared" si="2"/>
        <v>0.64558987333434148</v>
      </c>
    </row>
    <row r="63" spans="1:12" x14ac:dyDescent="0.2">
      <c r="A63">
        <v>183</v>
      </c>
      <c r="B63" s="4" t="s">
        <v>7</v>
      </c>
      <c r="C63" s="4">
        <v>0</v>
      </c>
      <c r="D63" s="4">
        <f t="shared" si="3"/>
        <v>-1</v>
      </c>
      <c r="E63" s="4">
        <f t="shared" si="1"/>
        <v>1</v>
      </c>
      <c r="F63" s="1">
        <v>0.1210532</v>
      </c>
      <c r="G63" s="1">
        <v>-0.1140413</v>
      </c>
      <c r="H63" s="1">
        <v>3.72976E-2</v>
      </c>
      <c r="I63" s="1">
        <v>0.45717649999999999</v>
      </c>
      <c r="J63" s="1">
        <v>0.31212220000000002</v>
      </c>
      <c r="K63" s="1">
        <v>0.91770679407027089</v>
      </c>
      <c r="L63" s="1">
        <f t="shared" si="2"/>
        <v>1.689832627622706</v>
      </c>
    </row>
    <row r="64" spans="1:12" x14ac:dyDescent="0.2">
      <c r="A64">
        <v>203</v>
      </c>
      <c r="B64" s="4" t="s">
        <v>5</v>
      </c>
      <c r="C64" s="4">
        <v>0</v>
      </c>
      <c r="D64" s="4">
        <f t="shared" si="3"/>
        <v>-1</v>
      </c>
      <c r="E64" s="4">
        <f t="shared" si="1"/>
        <v>-1</v>
      </c>
      <c r="F64" s="1">
        <v>0.10967200000000001</v>
      </c>
      <c r="G64" s="1">
        <v>-7.6169000000000002E-3</v>
      </c>
      <c r="H64" s="1">
        <v>1.34921E-2</v>
      </c>
      <c r="I64" s="1">
        <v>2.632863</v>
      </c>
      <c r="J64" s="1">
        <v>4.6391700000000001E-2</v>
      </c>
      <c r="K64" s="1">
        <v>0.65423965995837818</v>
      </c>
      <c r="L64" s="1">
        <f t="shared" si="2"/>
        <v>0.98348629177371305</v>
      </c>
    </row>
    <row r="65" spans="1:12" x14ac:dyDescent="0.2">
      <c r="A65">
        <v>128</v>
      </c>
      <c r="B65" s="4" t="s">
        <v>5</v>
      </c>
      <c r="C65" s="4">
        <v>0</v>
      </c>
      <c r="D65" s="4">
        <f t="shared" si="3"/>
        <v>-1</v>
      </c>
      <c r="E65" s="4">
        <f t="shared" si="1"/>
        <v>-1</v>
      </c>
      <c r="F65" s="1">
        <v>0.33645589999999997</v>
      </c>
      <c r="G65" s="1">
        <v>0.2327593</v>
      </c>
      <c r="H65" s="1">
        <v>3.31329E-2</v>
      </c>
      <c r="I65" s="1">
        <v>2.268726</v>
      </c>
      <c r="J65" s="1">
        <v>0.30270150000000001</v>
      </c>
      <c r="K65" s="1">
        <v>0.20614363024102722</v>
      </c>
      <c r="L65" s="1">
        <f t="shared" si="2"/>
        <v>1.2741461347239951</v>
      </c>
    </row>
    <row r="66" spans="1:12" x14ac:dyDescent="0.2">
      <c r="A66">
        <v>45</v>
      </c>
      <c r="B66" s="4" t="s">
        <v>6</v>
      </c>
      <c r="C66" s="4">
        <v>0</v>
      </c>
      <c r="D66" s="4">
        <f t="shared" si="3"/>
        <v>-1</v>
      </c>
      <c r="E66" s="4">
        <f t="shared" si="1"/>
        <v>-1</v>
      </c>
      <c r="F66" s="1">
        <v>-3.4844300000000002E-2</v>
      </c>
      <c r="G66" s="1">
        <v>-4.1509200000000003E-2</v>
      </c>
      <c r="H66" s="1">
        <v>1.73981E-2</v>
      </c>
      <c r="I66" s="1">
        <v>8.6528999999999995E-2</v>
      </c>
      <c r="J66" s="1">
        <v>0.18687509999999999</v>
      </c>
      <c r="K66" s="1">
        <v>0.5983237790163457</v>
      </c>
      <c r="L66" s="1">
        <f t="shared" si="2"/>
        <v>1.1658836067632998</v>
      </c>
    </row>
    <row r="67" spans="1:12" x14ac:dyDescent="0.2">
      <c r="A67">
        <v>101</v>
      </c>
      <c r="B67" s="4" t="s">
        <v>4</v>
      </c>
      <c r="C67" s="4">
        <v>0</v>
      </c>
      <c r="D67" s="4">
        <f t="shared" si="3"/>
        <v>-1</v>
      </c>
      <c r="E67" s="4">
        <f t="shared" si="1"/>
        <v>-1</v>
      </c>
      <c r="F67" s="1">
        <v>0.11168889999999999</v>
      </c>
      <c r="G67" s="1">
        <v>9.0468900000000005E-2</v>
      </c>
      <c r="H67" s="1">
        <v>2.44342E-2</v>
      </c>
      <c r="I67" s="1">
        <v>0.28836260000000002</v>
      </c>
      <c r="J67" s="1">
        <v>0.20753720000000001</v>
      </c>
      <c r="K67" s="1">
        <v>0.14737556427549448</v>
      </c>
      <c r="L67" s="1">
        <f t="shared" si="2"/>
        <v>1.215757490848455</v>
      </c>
    </row>
    <row r="68" spans="1:12" x14ac:dyDescent="0.2">
      <c r="A68">
        <v>164</v>
      </c>
      <c r="B68" s="4" t="s">
        <v>4</v>
      </c>
      <c r="C68" s="4">
        <v>0</v>
      </c>
      <c r="D68" s="4">
        <f t="shared" si="3"/>
        <v>-1</v>
      </c>
      <c r="E68" s="4">
        <f t="shared" si="1"/>
        <v>-1</v>
      </c>
      <c r="F68" s="1">
        <v>7.4940199999999998E-2</v>
      </c>
      <c r="G68" s="1">
        <v>0.68670399999999998</v>
      </c>
      <c r="H68" s="1">
        <v>6.9855299999999995E-2</v>
      </c>
      <c r="I68" s="1">
        <v>1.516214</v>
      </c>
      <c r="J68" s="1">
        <v>0.23815710000000001</v>
      </c>
      <c r="K68" s="1">
        <v>9.3997991123098882E-7</v>
      </c>
      <c r="L68" s="1" t="str">
        <f t="shared" si="2"/>
        <v/>
      </c>
    </row>
    <row r="69" spans="1:12" x14ac:dyDescent="0.2">
      <c r="A69">
        <v>150</v>
      </c>
      <c r="B69" s="4" t="s">
        <v>4</v>
      </c>
      <c r="C69" s="4">
        <v>0</v>
      </c>
      <c r="D69" s="4">
        <f t="shared" si="3"/>
        <v>-1</v>
      </c>
      <c r="E69" s="4">
        <f t="shared" si="1"/>
        <v>-1</v>
      </c>
      <c r="F69" s="1">
        <v>0.1451007</v>
      </c>
      <c r="G69" s="1">
        <v>0.35458190000000001</v>
      </c>
      <c r="H69" s="1">
        <v>5.89574E-2</v>
      </c>
      <c r="I69" s="1">
        <v>2.8607580000000001</v>
      </c>
      <c r="J69" s="1">
        <v>0.27418940000000003</v>
      </c>
      <c r="K69" s="1">
        <v>0.42359614544810975</v>
      </c>
      <c r="L69" s="1">
        <f t="shared" si="2"/>
        <v>0.56403050156449019</v>
      </c>
    </row>
    <row r="70" spans="1:12" x14ac:dyDescent="0.2">
      <c r="A70">
        <v>186</v>
      </c>
      <c r="B70" s="4" t="s">
        <v>7</v>
      </c>
      <c r="C70" s="4">
        <v>0</v>
      </c>
      <c r="D70" s="4">
        <f t="shared" si="3"/>
        <v>-1</v>
      </c>
      <c r="E70" s="4">
        <f t="shared" si="1"/>
        <v>1</v>
      </c>
      <c r="F70" s="1">
        <v>0.19167039999999999</v>
      </c>
      <c r="G70" s="1">
        <v>0.21642729999999999</v>
      </c>
      <c r="H70" s="1">
        <v>5.5042300000000002E-2</v>
      </c>
      <c r="I70" s="1">
        <v>1.2926029999999999</v>
      </c>
      <c r="J70" s="1">
        <v>0.70639359999999995</v>
      </c>
      <c r="K70" s="1">
        <v>0.61227598407635997</v>
      </c>
      <c r="L70" s="1">
        <f t="shared" si="2"/>
        <v>1.4863920273548521</v>
      </c>
    </row>
    <row r="71" spans="1:12" x14ac:dyDescent="0.2">
      <c r="A71">
        <v>89</v>
      </c>
      <c r="B71" s="4" t="s">
        <v>8</v>
      </c>
      <c r="C71" s="4">
        <v>1</v>
      </c>
      <c r="D71" s="4">
        <f t="shared" si="3"/>
        <v>1</v>
      </c>
      <c r="E71" s="4">
        <f t="shared" si="1"/>
        <v>1</v>
      </c>
      <c r="F71" s="1">
        <v>-0.18463109999999999</v>
      </c>
      <c r="G71" s="1">
        <v>-0.38685039999999998</v>
      </c>
      <c r="H71" s="1">
        <v>-8.7665E-3</v>
      </c>
      <c r="I71" s="1">
        <v>9.9530400000000005E-2</v>
      </c>
      <c r="J71" s="1">
        <v>0.4123231</v>
      </c>
      <c r="K71" s="1">
        <v>0.11826693274465007</v>
      </c>
      <c r="L71" s="1">
        <f t="shared" si="2"/>
        <v>-0.29323728946142014</v>
      </c>
    </row>
    <row r="72" spans="1:12" x14ac:dyDescent="0.2">
      <c r="A72">
        <v>151</v>
      </c>
      <c r="B72" s="4" t="s">
        <v>4</v>
      </c>
      <c r="C72" s="4">
        <v>0</v>
      </c>
      <c r="D72" s="4">
        <f t="shared" si="3"/>
        <v>-1</v>
      </c>
      <c r="E72" s="4">
        <f t="shared" si="1"/>
        <v>-1</v>
      </c>
      <c r="F72" s="1">
        <v>2.7224000000000002E-2</v>
      </c>
      <c r="G72" s="1">
        <v>0.2412387</v>
      </c>
      <c r="H72" s="1">
        <v>6.9867499999999999E-2</v>
      </c>
      <c r="I72" s="1">
        <v>1.454542</v>
      </c>
      <c r="J72" s="1">
        <v>0.22447520000000001</v>
      </c>
      <c r="K72" s="1">
        <v>0.22375311136189008</v>
      </c>
      <c r="L72" s="1">
        <f t="shared" si="2"/>
        <v>0.64577642095336207</v>
      </c>
    </row>
    <row r="73" spans="1:12" x14ac:dyDescent="0.2">
      <c r="A73">
        <v>72</v>
      </c>
      <c r="B73" s="4" t="s">
        <v>4</v>
      </c>
      <c r="C73" s="4">
        <v>0</v>
      </c>
      <c r="D73" s="4">
        <f t="shared" ref="D73:D104" si="4">C73*2-1</f>
        <v>-1</v>
      </c>
      <c r="E73" s="4">
        <f t="shared" si="1"/>
        <v>-1</v>
      </c>
      <c r="F73" s="1">
        <v>0.27805530000000001</v>
      </c>
      <c r="G73" s="1">
        <v>0.33973609999999999</v>
      </c>
      <c r="H73" s="1">
        <v>6.0129299999999997E-2</v>
      </c>
      <c r="I73" s="1">
        <v>1.6977789999999999</v>
      </c>
      <c r="J73" s="1">
        <v>0.2373005</v>
      </c>
      <c r="K73" s="1">
        <v>5.3589960529534887E-2</v>
      </c>
      <c r="L73" s="1">
        <f t="shared" si="2"/>
        <v>0.95955832413273678</v>
      </c>
    </row>
    <row r="74" spans="1:12" x14ac:dyDescent="0.2">
      <c r="A74">
        <v>32</v>
      </c>
      <c r="B74" s="4" t="s">
        <v>8</v>
      </c>
      <c r="C74" s="4">
        <v>1</v>
      </c>
      <c r="D74" s="4">
        <f t="shared" si="4"/>
        <v>1</v>
      </c>
      <c r="E74" s="4">
        <f t="shared" ref="E74:E108" si="5">SIGN(SUMPRODUCT(F74:J74,$F$7:$J$7)-$L$7)</f>
        <v>1</v>
      </c>
      <c r="F74" s="1">
        <v>4.9805500000000003E-2</v>
      </c>
      <c r="G74" s="1">
        <v>-0.91765739999999996</v>
      </c>
      <c r="H74" s="1">
        <v>4.3266899999999997E-2</v>
      </c>
      <c r="I74" s="1">
        <v>4.7632500000000001E-2</v>
      </c>
      <c r="J74" s="1">
        <v>0.232243</v>
      </c>
      <c r="K74" s="1">
        <v>7.3572347219128281E-2</v>
      </c>
      <c r="L74" s="1">
        <f t="shared" ref="L74:L108" si="6">IF(K74&gt;$O$12,SUMPRODUCT(F74:J74,$F$7:$J$7)-D74,"")</f>
        <v>1.007167368269354</v>
      </c>
    </row>
    <row r="75" spans="1:12" x14ac:dyDescent="0.2">
      <c r="A75">
        <v>68</v>
      </c>
      <c r="B75" s="4" t="s">
        <v>4</v>
      </c>
      <c r="C75" s="4">
        <v>0</v>
      </c>
      <c r="D75" s="4">
        <f t="shared" si="4"/>
        <v>-1</v>
      </c>
      <c r="E75" s="4">
        <f t="shared" si="5"/>
        <v>-1</v>
      </c>
      <c r="F75" s="1">
        <v>6.7510000000000001E-2</v>
      </c>
      <c r="G75" s="1">
        <v>-1.17479E-2</v>
      </c>
      <c r="H75" s="1">
        <v>6.7293599999999995E-2</v>
      </c>
      <c r="I75" s="1">
        <v>0.88055850000000002</v>
      </c>
      <c r="J75" s="1">
        <v>0.1836091</v>
      </c>
      <c r="K75" s="1">
        <v>0.67164211607410718</v>
      </c>
      <c r="L75" s="1">
        <f t="shared" si="6"/>
        <v>1.2242729342680101</v>
      </c>
    </row>
    <row r="76" spans="1:12" x14ac:dyDescent="0.2">
      <c r="A76">
        <v>161</v>
      </c>
      <c r="B76" s="4" t="s">
        <v>4</v>
      </c>
      <c r="C76" s="4">
        <v>0</v>
      </c>
      <c r="D76" s="4">
        <f t="shared" si="4"/>
        <v>-1</v>
      </c>
      <c r="E76" s="4">
        <f t="shared" si="5"/>
        <v>-1</v>
      </c>
      <c r="F76" s="1">
        <v>4.3963299999999997E-2</v>
      </c>
      <c r="G76" s="1">
        <v>0.28093630000000003</v>
      </c>
      <c r="H76" s="1">
        <v>4.6756300000000001E-2</v>
      </c>
      <c r="I76" s="1">
        <v>0.57312830000000003</v>
      </c>
      <c r="J76" s="1">
        <v>0.2627061</v>
      </c>
      <c r="K76" s="1">
        <v>2.4266234505902332E-2</v>
      </c>
      <c r="L76" s="1">
        <f t="shared" si="6"/>
        <v>0.74162911168038093</v>
      </c>
    </row>
    <row r="77" spans="1:12" x14ac:dyDescent="0.2">
      <c r="A77">
        <v>178</v>
      </c>
      <c r="B77" s="4" t="s">
        <v>4</v>
      </c>
      <c r="C77" s="4">
        <v>1</v>
      </c>
      <c r="D77" s="4">
        <f t="shared" si="4"/>
        <v>1</v>
      </c>
      <c r="E77" s="4">
        <f t="shared" si="5"/>
        <v>-1</v>
      </c>
      <c r="F77" s="1">
        <v>0.1432234</v>
      </c>
      <c r="G77" s="1">
        <v>0.2077426</v>
      </c>
      <c r="H77" s="1">
        <v>5.0890600000000001E-2</v>
      </c>
      <c r="I77" s="1">
        <v>1.9377470000000001</v>
      </c>
      <c r="J77" s="1">
        <v>0.2972052</v>
      </c>
      <c r="K77" s="1">
        <v>0.99996068485386302</v>
      </c>
      <c r="L77" s="1">
        <f t="shared" si="6"/>
        <v>-1.042342475913443</v>
      </c>
    </row>
    <row r="78" spans="1:12" x14ac:dyDescent="0.2">
      <c r="A78">
        <v>70</v>
      </c>
      <c r="B78" s="4" t="s">
        <v>4</v>
      </c>
      <c r="C78" s="4">
        <v>0</v>
      </c>
      <c r="D78" s="4">
        <f t="shared" si="4"/>
        <v>-1</v>
      </c>
      <c r="E78" s="4">
        <f t="shared" si="5"/>
        <v>-1</v>
      </c>
      <c r="F78" s="1">
        <v>-0.38003550000000003</v>
      </c>
      <c r="G78" s="1">
        <v>0.32729910000000001</v>
      </c>
      <c r="H78" s="1">
        <v>1.52205E-2</v>
      </c>
      <c r="I78" s="1">
        <v>1.216094</v>
      </c>
      <c r="J78" s="1">
        <v>0.1131646</v>
      </c>
      <c r="K78" s="1">
        <v>0.76907825023876719</v>
      </c>
      <c r="L78" s="1">
        <f t="shared" si="6"/>
        <v>-0.41586260646922524</v>
      </c>
    </row>
    <row r="79" spans="1:12" x14ac:dyDescent="0.2">
      <c r="A79">
        <v>165</v>
      </c>
      <c r="B79" s="4" t="s">
        <v>4</v>
      </c>
      <c r="C79" s="4">
        <v>0</v>
      </c>
      <c r="D79" s="4">
        <f t="shared" si="4"/>
        <v>-1</v>
      </c>
      <c r="E79" s="4">
        <f t="shared" si="5"/>
        <v>-1</v>
      </c>
      <c r="F79" s="1">
        <v>7.6209700000000005E-2</v>
      </c>
      <c r="G79" s="1">
        <v>0.70064959999999998</v>
      </c>
      <c r="H79" s="1">
        <v>5.8924299999999999E-2</v>
      </c>
      <c r="I79" s="1">
        <v>1.3195749999999999</v>
      </c>
      <c r="J79" s="1">
        <v>0.26568829999999999</v>
      </c>
      <c r="K79" s="1">
        <v>9.9881381566871462E-7</v>
      </c>
      <c r="L79" s="1" t="str">
        <f t="shared" si="6"/>
        <v/>
      </c>
    </row>
    <row r="80" spans="1:12" x14ac:dyDescent="0.2">
      <c r="A80">
        <v>193</v>
      </c>
      <c r="B80" s="4" t="s">
        <v>4</v>
      </c>
      <c r="C80" s="4">
        <v>0</v>
      </c>
      <c r="D80" s="4">
        <f t="shared" si="4"/>
        <v>-1</v>
      </c>
      <c r="E80" s="4">
        <f t="shared" si="5"/>
        <v>-1</v>
      </c>
      <c r="F80" s="1">
        <v>5.1132999999999998E-2</v>
      </c>
      <c r="G80" s="1">
        <v>0.13222829999999999</v>
      </c>
      <c r="H80" s="1">
        <v>9.2651899999999995E-2</v>
      </c>
      <c r="I80" s="1">
        <v>1.458126</v>
      </c>
      <c r="J80" s="1">
        <v>0.19800329999999999</v>
      </c>
      <c r="K80" s="1">
        <v>1.4176125426547698E-5</v>
      </c>
      <c r="L80" s="1" t="str">
        <f t="shared" si="6"/>
        <v/>
      </c>
    </row>
    <row r="81" spans="1:12" x14ac:dyDescent="0.2">
      <c r="A81">
        <v>218</v>
      </c>
      <c r="B81" s="4" t="s">
        <v>8</v>
      </c>
      <c r="C81" s="4">
        <v>1</v>
      </c>
      <c r="D81" s="4">
        <f t="shared" si="4"/>
        <v>1</v>
      </c>
      <c r="E81" s="4">
        <f t="shared" si="5"/>
        <v>1</v>
      </c>
      <c r="F81" s="1">
        <v>0.37201400000000001</v>
      </c>
      <c r="G81" s="1">
        <v>-1.429416</v>
      </c>
      <c r="H81" s="1">
        <v>-4.68376E-2</v>
      </c>
      <c r="I81" s="1">
        <v>0.181752</v>
      </c>
      <c r="J81" s="1">
        <v>0.10936419999999999</v>
      </c>
      <c r="K81" s="1">
        <v>2.6965542637754442E-2</v>
      </c>
      <c r="L81" s="1">
        <f t="shared" si="6"/>
        <v>2.4909111317693253</v>
      </c>
    </row>
    <row r="82" spans="1:12" x14ac:dyDescent="0.2">
      <c r="A82">
        <v>18</v>
      </c>
      <c r="B82" s="4" t="s">
        <v>6</v>
      </c>
      <c r="C82" s="4">
        <v>1</v>
      </c>
      <c r="D82" s="4">
        <f t="shared" si="4"/>
        <v>1</v>
      </c>
      <c r="E82" s="4">
        <f t="shared" si="5"/>
        <v>1</v>
      </c>
      <c r="F82" s="1">
        <v>0.56660189999999999</v>
      </c>
      <c r="G82" s="1">
        <v>0.26413320000000001</v>
      </c>
      <c r="H82" s="1">
        <v>-7.7575999999999999E-3</v>
      </c>
      <c r="I82" s="1">
        <v>0.11414729999999999</v>
      </c>
      <c r="J82" s="1">
        <v>0.25460759999999999</v>
      </c>
      <c r="K82" s="1">
        <v>0.98823107111120789</v>
      </c>
      <c r="L82" s="1">
        <f t="shared" si="6"/>
        <v>-0.11419323581298479</v>
      </c>
    </row>
    <row r="83" spans="1:12" x14ac:dyDescent="0.2">
      <c r="A83">
        <v>195</v>
      </c>
      <c r="B83" s="4" t="s">
        <v>4</v>
      </c>
      <c r="C83" s="4">
        <v>0</v>
      </c>
      <c r="D83" s="4">
        <f t="shared" si="4"/>
        <v>-1</v>
      </c>
      <c r="E83" s="4">
        <f t="shared" si="5"/>
        <v>-1</v>
      </c>
      <c r="F83" s="1">
        <v>0.29315479999999999</v>
      </c>
      <c r="G83" s="1">
        <v>0.50737189999999999</v>
      </c>
      <c r="H83" s="1">
        <v>6.8256899999999995E-2</v>
      </c>
      <c r="I83" s="1">
        <v>1.9777420000000001</v>
      </c>
      <c r="J83" s="1">
        <v>0.47353469999999998</v>
      </c>
      <c r="K83" s="1">
        <v>0.13440043136116345</v>
      </c>
      <c r="L83" s="1">
        <f t="shared" si="6"/>
        <v>0.86341923227842166</v>
      </c>
    </row>
    <row r="84" spans="1:12" x14ac:dyDescent="0.2">
      <c r="A84">
        <v>145</v>
      </c>
      <c r="B84" s="4" t="s">
        <v>4</v>
      </c>
      <c r="C84" s="4">
        <v>0</v>
      </c>
      <c r="D84" s="4">
        <f t="shared" si="4"/>
        <v>-1</v>
      </c>
      <c r="E84" s="4">
        <f t="shared" si="5"/>
        <v>-1</v>
      </c>
      <c r="F84" s="1">
        <v>4.8872699999999998E-2</v>
      </c>
      <c r="G84" s="1">
        <v>0.35017569999999998</v>
      </c>
      <c r="H84" s="1">
        <v>5.7734199999999999E-2</v>
      </c>
      <c r="I84" s="1">
        <v>2.8020640000000001</v>
      </c>
      <c r="J84" s="1">
        <v>0.17753050000000001</v>
      </c>
      <c r="K84" s="1">
        <v>0.45025550531818542</v>
      </c>
      <c r="L84" s="1">
        <f t="shared" si="6"/>
        <v>0.29435868829583578</v>
      </c>
    </row>
    <row r="85" spans="1:12" x14ac:dyDescent="0.2">
      <c r="A85">
        <v>179</v>
      </c>
      <c r="B85" s="4" t="s">
        <v>7</v>
      </c>
      <c r="C85" s="4">
        <v>0</v>
      </c>
      <c r="D85" s="4">
        <f t="shared" si="4"/>
        <v>-1</v>
      </c>
      <c r="E85" s="4">
        <f t="shared" si="5"/>
        <v>-1</v>
      </c>
      <c r="F85" s="1">
        <v>6.0337999999999998E-3</v>
      </c>
      <c r="G85" s="1">
        <v>-2.8400100000000001E-2</v>
      </c>
      <c r="H85" s="1">
        <v>6.764E-3</v>
      </c>
      <c r="I85" s="1">
        <v>0.1102698</v>
      </c>
      <c r="J85" s="1">
        <v>0.2549882</v>
      </c>
      <c r="K85" s="1">
        <v>0.6108186105111364</v>
      </c>
      <c r="L85" s="1">
        <f t="shared" si="6"/>
        <v>1.2851082368850939</v>
      </c>
    </row>
    <row r="86" spans="1:12" x14ac:dyDescent="0.2">
      <c r="A86">
        <v>139</v>
      </c>
      <c r="B86" s="4" t="s">
        <v>4</v>
      </c>
      <c r="C86" s="4">
        <v>0</v>
      </c>
      <c r="D86" s="4">
        <f t="shared" si="4"/>
        <v>-1</v>
      </c>
      <c r="E86" s="4">
        <f t="shared" si="5"/>
        <v>-1</v>
      </c>
      <c r="F86" s="1">
        <v>0.1695805</v>
      </c>
      <c r="G86" s="1">
        <v>0.3774517</v>
      </c>
      <c r="H86" s="1">
        <v>5.2468000000000001E-2</v>
      </c>
      <c r="I86" s="1">
        <v>1.569448</v>
      </c>
      <c r="J86" s="1">
        <v>0.24853629999999999</v>
      </c>
      <c r="K86" s="1">
        <v>6.7732599689710529E-2</v>
      </c>
      <c r="L86" s="1">
        <f t="shared" si="6"/>
        <v>0.69358848334797019</v>
      </c>
    </row>
    <row r="87" spans="1:12" x14ac:dyDescent="0.2">
      <c r="A87">
        <v>66</v>
      </c>
      <c r="B87" s="4" t="s">
        <v>5</v>
      </c>
      <c r="C87" s="4">
        <v>0</v>
      </c>
      <c r="D87" s="4">
        <f t="shared" si="4"/>
        <v>-1</v>
      </c>
      <c r="E87" s="4">
        <f t="shared" si="5"/>
        <v>-1</v>
      </c>
      <c r="F87" s="1">
        <v>4.15267E-2</v>
      </c>
      <c r="G87" s="1">
        <v>-3.9614000000000003E-3</v>
      </c>
      <c r="H87" s="1">
        <v>2.5697899999999999E-2</v>
      </c>
      <c r="I87" s="1">
        <v>0.71072610000000003</v>
      </c>
      <c r="J87" s="1">
        <v>0.15321080000000001</v>
      </c>
      <c r="K87" s="1">
        <v>0.64227830283082066</v>
      </c>
      <c r="L87" s="1">
        <f t="shared" si="6"/>
        <v>1.1506104775449579</v>
      </c>
    </row>
    <row r="88" spans="1:12" x14ac:dyDescent="0.2">
      <c r="A88">
        <v>105</v>
      </c>
      <c r="B88" s="4" t="s">
        <v>4</v>
      </c>
      <c r="C88" s="4">
        <v>0</v>
      </c>
      <c r="D88" s="4">
        <f t="shared" si="4"/>
        <v>-1</v>
      </c>
      <c r="E88" s="4">
        <f t="shared" si="5"/>
        <v>-1</v>
      </c>
      <c r="F88" s="1">
        <v>0.3133628</v>
      </c>
      <c r="G88" s="1">
        <v>0.49182189999999998</v>
      </c>
      <c r="H88" s="1">
        <v>5.5807299999999997E-2</v>
      </c>
      <c r="I88" s="1">
        <v>2.0479020000000001</v>
      </c>
      <c r="J88" s="1">
        <v>0.46735890000000002</v>
      </c>
      <c r="K88" s="1">
        <v>0.21195431508055701</v>
      </c>
      <c r="L88" s="1">
        <f t="shared" si="6"/>
        <v>0.9206576858121559</v>
      </c>
    </row>
    <row r="89" spans="1:12" x14ac:dyDescent="0.2">
      <c r="A89">
        <v>31</v>
      </c>
      <c r="B89" s="4" t="s">
        <v>7</v>
      </c>
      <c r="C89" s="4">
        <v>1</v>
      </c>
      <c r="D89" s="4">
        <f t="shared" si="4"/>
        <v>1</v>
      </c>
      <c r="E89" s="4">
        <f t="shared" si="5"/>
        <v>1</v>
      </c>
      <c r="F89" s="1">
        <v>3.0484399999999998E-2</v>
      </c>
      <c r="G89" s="1">
        <v>-0.3930804</v>
      </c>
      <c r="H89" s="1">
        <v>4.1598599999999999E-2</v>
      </c>
      <c r="I89" s="1">
        <v>0.1243332</v>
      </c>
      <c r="J89" s="1">
        <v>0.16745409999999999</v>
      </c>
      <c r="K89" s="1">
        <v>0.11049782257421489</v>
      </c>
      <c r="L89" s="1">
        <f t="shared" si="6"/>
        <v>-7.2505225705661314E-2</v>
      </c>
    </row>
    <row r="90" spans="1:12" x14ac:dyDescent="0.2">
      <c r="A90">
        <v>175</v>
      </c>
      <c r="B90" s="4" t="s">
        <v>4</v>
      </c>
      <c r="C90" s="4">
        <v>1</v>
      </c>
      <c r="D90" s="4">
        <f t="shared" si="4"/>
        <v>1</v>
      </c>
      <c r="E90" s="4">
        <f t="shared" si="5"/>
        <v>-1</v>
      </c>
      <c r="F90" s="1">
        <v>0.14155239999999999</v>
      </c>
      <c r="G90" s="1">
        <v>0.1941908</v>
      </c>
      <c r="H90" s="1">
        <v>5.1926300000000002E-2</v>
      </c>
      <c r="I90" s="1">
        <v>1.93926</v>
      </c>
      <c r="J90" s="1">
        <v>0.30579329999999999</v>
      </c>
      <c r="K90" s="1">
        <v>0.99999927055678473</v>
      </c>
      <c r="L90" s="1">
        <f t="shared" si="6"/>
        <v>-1.013009760607132</v>
      </c>
    </row>
    <row r="91" spans="1:12" x14ac:dyDescent="0.2">
      <c r="A91">
        <v>43</v>
      </c>
      <c r="B91" s="4" t="s">
        <v>5</v>
      </c>
      <c r="C91" s="4">
        <v>0</v>
      </c>
      <c r="D91" s="4">
        <f t="shared" si="4"/>
        <v>-1</v>
      </c>
      <c r="E91" s="4">
        <f t="shared" si="5"/>
        <v>-1</v>
      </c>
      <c r="F91" s="1">
        <v>-4.87345E-2</v>
      </c>
      <c r="G91" s="1">
        <v>1.6938700000000001E-2</v>
      </c>
      <c r="H91" s="1">
        <v>8.6358000000000008E-3</v>
      </c>
      <c r="I91" s="1">
        <v>7.3447499999999999E-2</v>
      </c>
      <c r="J91" s="1">
        <v>0.1641156</v>
      </c>
      <c r="K91" s="1">
        <v>0.24412831444529443</v>
      </c>
      <c r="L91" s="1">
        <f t="shared" si="6"/>
        <v>1.0103912336076644</v>
      </c>
    </row>
    <row r="92" spans="1:12" x14ac:dyDescent="0.2">
      <c r="A92">
        <v>209</v>
      </c>
      <c r="B92" s="4" t="s">
        <v>7</v>
      </c>
      <c r="C92" s="4">
        <v>1</v>
      </c>
      <c r="D92" s="4">
        <f t="shared" si="4"/>
        <v>1</v>
      </c>
      <c r="E92" s="4">
        <f t="shared" si="5"/>
        <v>1</v>
      </c>
      <c r="F92" s="1">
        <v>0.1721674</v>
      </c>
      <c r="G92" s="1">
        <v>-6.8613499999999994E-2</v>
      </c>
      <c r="H92" s="1">
        <v>-4.6987000000000001E-3</v>
      </c>
      <c r="I92" s="1">
        <v>4.35187E-2</v>
      </c>
      <c r="J92" s="1">
        <v>0.23529910000000001</v>
      </c>
      <c r="K92" s="1">
        <v>0.12167334183700663</v>
      </c>
      <c r="L92" s="1">
        <f t="shared" si="6"/>
        <v>-0.31140573728857435</v>
      </c>
    </row>
    <row r="93" spans="1:12" x14ac:dyDescent="0.2">
      <c r="A93">
        <v>29</v>
      </c>
      <c r="B93" s="4" t="s">
        <v>8</v>
      </c>
      <c r="C93" s="4">
        <v>1</v>
      </c>
      <c r="D93" s="4">
        <f t="shared" si="4"/>
        <v>1</v>
      </c>
      <c r="E93" s="4">
        <f t="shared" si="5"/>
        <v>1</v>
      </c>
      <c r="F93" s="1">
        <v>-2.0382E-3</v>
      </c>
      <c r="G93" s="1">
        <v>-0.23680109999999999</v>
      </c>
      <c r="H93" s="1">
        <v>-2.27902E-2</v>
      </c>
      <c r="I93" s="1">
        <v>0.4122499</v>
      </c>
      <c r="J93" s="1">
        <v>0.3472654</v>
      </c>
      <c r="K93" s="1">
        <v>0.13618680522015167</v>
      </c>
      <c r="L93" s="1">
        <f t="shared" si="6"/>
        <v>-0.29287438135926047</v>
      </c>
    </row>
    <row r="94" spans="1:12" x14ac:dyDescent="0.2">
      <c r="A94">
        <v>173</v>
      </c>
      <c r="B94" s="4" t="s">
        <v>4</v>
      </c>
      <c r="C94" s="4">
        <v>1</v>
      </c>
      <c r="D94" s="4">
        <f t="shared" si="4"/>
        <v>1</v>
      </c>
      <c r="E94" s="4">
        <f t="shared" si="5"/>
        <v>-1</v>
      </c>
      <c r="F94" s="1">
        <v>-5.4135900000000001E-2</v>
      </c>
      <c r="G94" s="1">
        <v>-3.03141E-2</v>
      </c>
      <c r="H94" s="1">
        <v>2.9028499999999999E-2</v>
      </c>
      <c r="I94" s="1">
        <v>8.9803400000000005E-2</v>
      </c>
      <c r="J94" s="1">
        <v>0.1070989</v>
      </c>
      <c r="K94" s="1">
        <v>0.13856021141784258</v>
      </c>
      <c r="L94" s="1">
        <f t="shared" si="6"/>
        <v>-0.96813526090407676</v>
      </c>
    </row>
    <row r="95" spans="1:12" x14ac:dyDescent="0.2">
      <c r="A95">
        <v>34</v>
      </c>
      <c r="B95" s="4" t="s">
        <v>4</v>
      </c>
      <c r="C95" s="4">
        <v>0</v>
      </c>
      <c r="D95" s="4">
        <f t="shared" si="4"/>
        <v>-1</v>
      </c>
      <c r="E95" s="4">
        <f t="shared" si="5"/>
        <v>1</v>
      </c>
      <c r="F95" s="2">
        <v>0.50079859999999998</v>
      </c>
      <c r="G95" s="2">
        <v>0.3068458</v>
      </c>
      <c r="H95" s="2">
        <v>4.3373399999999999E-2</v>
      </c>
      <c r="I95" s="2">
        <v>0.95627079999999998</v>
      </c>
      <c r="J95" s="2">
        <v>0.33477380000000001</v>
      </c>
      <c r="K95" s="1">
        <v>1.3088430345421861E-2</v>
      </c>
      <c r="L95" s="1">
        <f t="shared" si="6"/>
        <v>1.648054634041735</v>
      </c>
    </row>
    <row r="96" spans="1:12" x14ac:dyDescent="0.2">
      <c r="A96">
        <v>1</v>
      </c>
      <c r="B96" s="4" t="s">
        <v>7</v>
      </c>
      <c r="C96" s="4">
        <v>1</v>
      </c>
      <c r="D96" s="4">
        <f t="shared" si="4"/>
        <v>1</v>
      </c>
      <c r="E96" s="4">
        <f t="shared" si="5"/>
        <v>1</v>
      </c>
      <c r="F96" s="1">
        <v>0.35730079999999997</v>
      </c>
      <c r="G96" s="1">
        <v>6.0466499999999999E-2</v>
      </c>
      <c r="H96" s="1">
        <v>2.8341399999999999E-2</v>
      </c>
      <c r="I96" s="1">
        <v>3.1962860000000002</v>
      </c>
      <c r="J96" s="1">
        <v>0.28351080000000001</v>
      </c>
      <c r="K96" s="1">
        <v>0.99999999999999989</v>
      </c>
      <c r="L96" s="1">
        <f t="shared" si="6"/>
        <v>-0.48539538434657448</v>
      </c>
    </row>
    <row r="97" spans="1:12" x14ac:dyDescent="0.2">
      <c r="A97">
        <v>143</v>
      </c>
      <c r="B97" s="4" t="s">
        <v>4</v>
      </c>
      <c r="C97" s="4">
        <v>0</v>
      </c>
      <c r="D97" s="4">
        <f t="shared" si="4"/>
        <v>-1</v>
      </c>
      <c r="E97" s="4">
        <f t="shared" si="5"/>
        <v>-1</v>
      </c>
      <c r="F97" s="1">
        <v>5.0508000000000003E-3</v>
      </c>
      <c r="G97" s="1">
        <v>0.26083499999999998</v>
      </c>
      <c r="H97" s="1">
        <v>7.0438000000000001E-2</v>
      </c>
      <c r="I97" s="1">
        <v>2.7149369999999999</v>
      </c>
      <c r="J97" s="1">
        <v>0.1951107</v>
      </c>
      <c r="K97" s="1">
        <v>0.63392093009140071</v>
      </c>
      <c r="L97" s="1">
        <f t="shared" si="6"/>
        <v>0.39574992324668168</v>
      </c>
    </row>
    <row r="98" spans="1:12" x14ac:dyDescent="0.2">
      <c r="A98">
        <v>113</v>
      </c>
      <c r="B98" s="4" t="s">
        <v>5</v>
      </c>
      <c r="C98" s="4">
        <v>0</v>
      </c>
      <c r="D98" s="4">
        <f t="shared" si="4"/>
        <v>-1</v>
      </c>
      <c r="E98" s="4">
        <f t="shared" si="5"/>
        <v>-1</v>
      </c>
      <c r="F98" s="1">
        <v>8.6618600000000004E-2</v>
      </c>
      <c r="G98" s="1">
        <v>0.33599000000000001</v>
      </c>
      <c r="H98" s="1">
        <v>6.4488199999999996E-2</v>
      </c>
      <c r="I98" s="1">
        <v>0.83912659999999994</v>
      </c>
      <c r="J98" s="1">
        <v>0.63721240000000001</v>
      </c>
      <c r="K98" s="1">
        <v>0.16430125409452703</v>
      </c>
      <c r="L98" s="1">
        <f t="shared" si="6"/>
        <v>1.0377251727067578</v>
      </c>
    </row>
    <row r="99" spans="1:12" x14ac:dyDescent="0.2">
      <c r="A99">
        <v>200</v>
      </c>
      <c r="B99" s="4" t="s">
        <v>8</v>
      </c>
      <c r="C99" s="4">
        <v>1</v>
      </c>
      <c r="D99" s="4">
        <f t="shared" si="4"/>
        <v>1</v>
      </c>
      <c r="E99" s="4">
        <f t="shared" si="5"/>
        <v>1</v>
      </c>
      <c r="F99" s="1">
        <v>0.2993577</v>
      </c>
      <c r="G99" s="1">
        <v>3.3068599999999997E-2</v>
      </c>
      <c r="H99" s="1">
        <v>2.79341E-2</v>
      </c>
      <c r="I99" s="1">
        <v>3.9038799999999999E-2</v>
      </c>
      <c r="J99" s="1">
        <v>0.57052159999999996</v>
      </c>
      <c r="K99" s="1">
        <v>0.10560044049822391</v>
      </c>
      <c r="L99" s="1">
        <f t="shared" si="6"/>
        <v>6.4238111790742902E-2</v>
      </c>
    </row>
    <row r="100" spans="1:12" x14ac:dyDescent="0.2">
      <c r="A100">
        <v>135</v>
      </c>
      <c r="B100" s="4" t="s">
        <v>4</v>
      </c>
      <c r="C100" s="4">
        <v>0</v>
      </c>
      <c r="D100" s="4">
        <f t="shared" si="4"/>
        <v>-1</v>
      </c>
      <c r="E100" s="4">
        <f t="shared" si="5"/>
        <v>-1</v>
      </c>
      <c r="F100" s="1">
        <v>0.1816072</v>
      </c>
      <c r="G100" s="1">
        <v>0.43985419999999997</v>
      </c>
      <c r="H100" s="1">
        <v>7.1866799999999995E-2</v>
      </c>
      <c r="I100" s="1">
        <v>2.4908610000000002</v>
      </c>
      <c r="J100" s="1">
        <v>0.2897941</v>
      </c>
      <c r="K100" s="1">
        <v>5.6461043676242266E-2</v>
      </c>
      <c r="L100" s="1">
        <f t="shared" si="6"/>
        <v>0.53543305575973255</v>
      </c>
    </row>
    <row r="101" spans="1:12" x14ac:dyDescent="0.2">
      <c r="A101">
        <v>106</v>
      </c>
      <c r="B101" s="4" t="s">
        <v>4</v>
      </c>
      <c r="C101" s="4">
        <v>0</v>
      </c>
      <c r="D101" s="4">
        <f t="shared" si="4"/>
        <v>-1</v>
      </c>
      <c r="E101" s="4">
        <f t="shared" si="5"/>
        <v>-1</v>
      </c>
      <c r="F101" s="1">
        <v>0.36146739999999999</v>
      </c>
      <c r="G101" s="1">
        <v>0.51378829999999998</v>
      </c>
      <c r="H101" s="1">
        <v>7.0034700000000005E-2</v>
      </c>
      <c r="I101" s="1">
        <v>2.677962</v>
      </c>
      <c r="J101" s="1">
        <v>0.44641140000000001</v>
      </c>
      <c r="K101" s="1">
        <v>6.259529197549954E-2</v>
      </c>
      <c r="L101" s="1">
        <f t="shared" si="6"/>
        <v>0.88724855827270011</v>
      </c>
    </row>
    <row r="102" spans="1:12" x14ac:dyDescent="0.2">
      <c r="A102">
        <v>56</v>
      </c>
      <c r="B102" s="4" t="s">
        <v>4</v>
      </c>
      <c r="C102" s="4">
        <v>0</v>
      </c>
      <c r="D102" s="4">
        <f t="shared" si="4"/>
        <v>-1</v>
      </c>
      <c r="E102" s="4">
        <f t="shared" si="5"/>
        <v>-1</v>
      </c>
      <c r="F102" s="1">
        <v>0.1523052</v>
      </c>
      <c r="G102" s="1">
        <v>0.42399959999999998</v>
      </c>
      <c r="H102" s="1">
        <v>9.6685999999999994E-2</v>
      </c>
      <c r="I102" s="1">
        <v>7.9581249999999999</v>
      </c>
      <c r="J102" s="1">
        <v>0.27485520000000002</v>
      </c>
      <c r="K102" s="1">
        <v>0.16975923970842866</v>
      </c>
      <c r="L102" s="1">
        <f t="shared" si="6"/>
        <v>-0.12435484091504678</v>
      </c>
    </row>
    <row r="103" spans="1:12" x14ac:dyDescent="0.2">
      <c r="A103">
        <v>222</v>
      </c>
      <c r="B103" s="4" t="s">
        <v>8</v>
      </c>
      <c r="C103" s="4">
        <v>1</v>
      </c>
      <c r="D103" s="4">
        <f t="shared" si="4"/>
        <v>1</v>
      </c>
      <c r="E103" s="4">
        <f t="shared" si="5"/>
        <v>1</v>
      </c>
      <c r="F103" s="1">
        <v>7.1074300000000007E-2</v>
      </c>
      <c r="G103" s="1">
        <v>6.9261100000000006E-2</v>
      </c>
      <c r="H103" s="1">
        <v>4.2002400000000002E-2</v>
      </c>
      <c r="I103" s="1">
        <v>1.187908</v>
      </c>
      <c r="J103" s="1">
        <v>0.6643384</v>
      </c>
      <c r="K103" s="1">
        <v>0.16191936117885725</v>
      </c>
      <c r="L103" s="1">
        <f t="shared" si="6"/>
        <v>-0.51254376870743268</v>
      </c>
    </row>
    <row r="104" spans="1:12" x14ac:dyDescent="0.2">
      <c r="A104">
        <v>38</v>
      </c>
      <c r="B104" s="4" t="s">
        <v>5</v>
      </c>
      <c r="C104" s="4">
        <v>0</v>
      </c>
      <c r="D104" s="4">
        <f t="shared" si="4"/>
        <v>-1</v>
      </c>
      <c r="E104" s="4">
        <f t="shared" si="5"/>
        <v>1</v>
      </c>
      <c r="F104" s="1">
        <v>0.44724619999999998</v>
      </c>
      <c r="G104" s="1">
        <v>0.21736800000000001</v>
      </c>
      <c r="H104" s="1">
        <v>3.2458000000000001E-2</v>
      </c>
      <c r="I104" s="1">
        <v>0.79163850000000002</v>
      </c>
      <c r="J104" s="1">
        <v>0.27553070000000002</v>
      </c>
      <c r="K104" s="1">
        <v>9.2398321301868241E-4</v>
      </c>
      <c r="L104" s="1" t="str">
        <f t="shared" si="6"/>
        <v/>
      </c>
    </row>
    <row r="105" spans="1:12" x14ac:dyDescent="0.2">
      <c r="A105">
        <v>41</v>
      </c>
      <c r="B105" s="4" t="s">
        <v>4</v>
      </c>
      <c r="C105" s="4">
        <v>0</v>
      </c>
      <c r="D105" s="4">
        <f t="shared" ref="D105:D108" si="7">C105*2-1</f>
        <v>-1</v>
      </c>
      <c r="E105" s="4">
        <f t="shared" si="5"/>
        <v>-1</v>
      </c>
      <c r="F105" s="1">
        <v>-3.5422700000000001E-2</v>
      </c>
      <c r="G105" s="1">
        <v>0.25279299999999999</v>
      </c>
      <c r="H105" s="1">
        <v>3.1855300000000003E-2</v>
      </c>
      <c r="I105" s="1">
        <v>0.3274492</v>
      </c>
      <c r="J105" s="1">
        <v>0.2120515</v>
      </c>
      <c r="K105" s="1">
        <v>1.0282799202020663E-2</v>
      </c>
      <c r="L105" s="1">
        <f t="shared" si="6"/>
        <v>0.61414577011461768</v>
      </c>
    </row>
    <row r="106" spans="1:12" x14ac:dyDescent="0.2">
      <c r="A106">
        <v>107</v>
      </c>
      <c r="B106" s="4" t="s">
        <v>4</v>
      </c>
      <c r="C106" s="4">
        <v>0</v>
      </c>
      <c r="D106" s="4">
        <f t="shared" si="7"/>
        <v>-1</v>
      </c>
      <c r="E106" s="4">
        <f t="shared" si="5"/>
        <v>-1</v>
      </c>
      <c r="F106" s="1">
        <v>0.31594909999999998</v>
      </c>
      <c r="G106" s="1">
        <v>0.50615540000000003</v>
      </c>
      <c r="H106" s="1">
        <v>8.3096699999999996E-2</v>
      </c>
      <c r="I106" s="1">
        <v>3.2221000000000002</v>
      </c>
      <c r="J106" s="1">
        <v>0.43442340000000002</v>
      </c>
      <c r="K106" s="1">
        <v>9.8299717474887355E-7</v>
      </c>
      <c r="L106" s="1" t="str">
        <f t="shared" si="6"/>
        <v/>
      </c>
    </row>
    <row r="107" spans="1:12" x14ac:dyDescent="0.2">
      <c r="A107">
        <v>167</v>
      </c>
      <c r="B107" s="4" t="s">
        <v>4</v>
      </c>
      <c r="C107" s="4">
        <v>0</v>
      </c>
      <c r="D107" s="4">
        <f t="shared" si="7"/>
        <v>-1</v>
      </c>
      <c r="E107" s="4">
        <f t="shared" si="5"/>
        <v>-1</v>
      </c>
      <c r="F107" s="1">
        <v>0.103047</v>
      </c>
      <c r="G107" s="1">
        <v>0.78042350000000005</v>
      </c>
      <c r="H107" s="1">
        <v>5.7165100000000003E-2</v>
      </c>
      <c r="I107" s="1">
        <v>2.0184549999999999</v>
      </c>
      <c r="J107" s="1">
        <v>0.27370919999999999</v>
      </c>
      <c r="K107" s="1">
        <v>7.5073582225211152E-7</v>
      </c>
      <c r="L107" s="1" t="str">
        <f t="shared" si="6"/>
        <v/>
      </c>
    </row>
    <row r="108" spans="1:12" x14ac:dyDescent="0.2">
      <c r="A108">
        <v>214</v>
      </c>
      <c r="B108" s="4" t="s">
        <v>4</v>
      </c>
      <c r="C108" s="4">
        <v>0</v>
      </c>
      <c r="D108" s="4">
        <f t="shared" si="7"/>
        <v>-1</v>
      </c>
      <c r="E108" s="4">
        <f t="shared" si="5"/>
        <v>1</v>
      </c>
      <c r="F108" s="1">
        <v>0.33730349999999998</v>
      </c>
      <c r="G108" s="1">
        <v>0.1626406</v>
      </c>
      <c r="H108" s="1">
        <v>3.6683899999999998E-2</v>
      </c>
      <c r="I108" s="1">
        <v>0.58507589999999998</v>
      </c>
      <c r="J108" s="1">
        <v>0.15916939999999999</v>
      </c>
      <c r="K108" s="1">
        <v>0.99999999999999989</v>
      </c>
      <c r="L108" s="1">
        <f t="shared" si="6"/>
        <v>1.4637309276533093</v>
      </c>
    </row>
  </sheetData>
  <sortState ref="A2:M223">
    <sortCondition ref="M2:M223"/>
  </sortState>
  <mergeCells count="1">
    <mergeCell ref="N15:O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M126"/>
  <sheetViews>
    <sheetView topLeftCell="A4" workbookViewId="0">
      <selection activeCell="J4" sqref="J4"/>
    </sheetView>
  </sheetViews>
  <sheetFormatPr baseColWidth="10" defaultRowHeight="12.75" x14ac:dyDescent="0.2"/>
  <cols>
    <col min="1" max="9" width="14.28515625" customWidth="1"/>
  </cols>
  <sheetData>
    <row r="4" spans="1:13" ht="63.75" x14ac:dyDescent="0.2">
      <c r="A4" s="10" t="s">
        <v>30</v>
      </c>
      <c r="B4" s="10" t="s">
        <v>9</v>
      </c>
      <c r="C4" s="10" t="s">
        <v>11</v>
      </c>
      <c r="D4" s="11" t="s">
        <v>13</v>
      </c>
      <c r="E4" s="10" t="s">
        <v>1</v>
      </c>
      <c r="F4" s="10" t="s">
        <v>0</v>
      </c>
      <c r="G4" s="12" t="s">
        <v>20</v>
      </c>
      <c r="H4" s="10" t="s">
        <v>2</v>
      </c>
      <c r="I4" s="10" t="s">
        <v>3</v>
      </c>
      <c r="J4" s="12" t="s">
        <v>18</v>
      </c>
    </row>
    <row r="5" spans="1:13" x14ac:dyDescent="0.2">
      <c r="A5">
        <v>92</v>
      </c>
      <c r="B5" s="4" t="s">
        <v>7</v>
      </c>
      <c r="C5" s="4">
        <v>1</v>
      </c>
      <c r="D5" s="4">
        <f t="shared" ref="D5:D36" si="0">C5*2-1</f>
        <v>1</v>
      </c>
      <c r="E5" s="1">
        <v>-0.12149160000000001</v>
      </c>
      <c r="F5" s="1">
        <v>-9.0418700000000005E-2</v>
      </c>
      <c r="G5" s="1">
        <v>-1.38338E-2</v>
      </c>
      <c r="H5" s="1">
        <v>0.13589999999999999</v>
      </c>
      <c r="I5" s="1">
        <v>0.33792460000000002</v>
      </c>
      <c r="J5">
        <f>SIGN(SUMPRODUCT(E5:I5,'datos de entrenamiento'!$F$7:$J$7)-'datos de entrenamiento'!$L$7)</f>
        <v>-1</v>
      </c>
      <c r="L5" s="5"/>
    </row>
    <row r="6" spans="1:13" x14ac:dyDescent="0.2">
      <c r="A6">
        <v>5</v>
      </c>
      <c r="B6" s="4" t="s">
        <v>8</v>
      </c>
      <c r="C6" s="4">
        <v>1</v>
      </c>
      <c r="D6" s="4">
        <f t="shared" si="0"/>
        <v>1</v>
      </c>
      <c r="E6" s="1">
        <v>4.3173700000000002E-2</v>
      </c>
      <c r="F6" s="1">
        <v>0.2086286</v>
      </c>
      <c r="G6" s="1">
        <v>3.4858899999999998E-2</v>
      </c>
      <c r="H6" s="1">
        <v>9.0540099999999998E-2</v>
      </c>
      <c r="I6" s="1">
        <v>1.016006</v>
      </c>
      <c r="J6">
        <f>SIGN(SUMPRODUCT(E6:I6,'datos de entrenamiento'!$F$7:$J$7)-'datos de entrenamiento'!$L$7)</f>
        <v>1</v>
      </c>
    </row>
    <row r="7" spans="1:13" x14ac:dyDescent="0.2">
      <c r="A7">
        <v>132</v>
      </c>
      <c r="B7" s="4" t="s">
        <v>4</v>
      </c>
      <c r="C7" s="4">
        <v>0</v>
      </c>
      <c r="D7" s="4">
        <f t="shared" si="0"/>
        <v>-1</v>
      </c>
      <c r="E7" s="1">
        <v>4.9218600000000001E-2</v>
      </c>
      <c r="F7" s="1">
        <v>2.9295700000000001E-2</v>
      </c>
      <c r="G7" s="1">
        <v>3.5263700000000002E-2</v>
      </c>
      <c r="H7" s="1">
        <v>0.20485690000000001</v>
      </c>
      <c r="I7" s="1">
        <v>8.8149099999999994E-2</v>
      </c>
      <c r="J7">
        <f>SIGN(SUMPRODUCT(E7:I7,'datos de entrenamiento'!$F$7:$J$7)-'datos de entrenamiento'!$L$7)</f>
        <v>-1</v>
      </c>
    </row>
    <row r="8" spans="1:13" x14ac:dyDescent="0.2">
      <c r="A8">
        <v>201</v>
      </c>
      <c r="B8" s="4" t="s">
        <v>8</v>
      </c>
      <c r="C8" s="4">
        <v>1</v>
      </c>
      <c r="D8" s="4">
        <f t="shared" si="0"/>
        <v>1</v>
      </c>
      <c r="E8" s="1">
        <v>0.41329719999999998</v>
      </c>
      <c r="F8" s="1">
        <v>-0.2284214</v>
      </c>
      <c r="G8" s="1">
        <v>5.8405600000000002E-2</v>
      </c>
      <c r="H8" s="1">
        <v>0.30966680000000002</v>
      </c>
      <c r="I8" s="1">
        <v>0.52742920000000004</v>
      </c>
      <c r="J8">
        <f>SIGN(SUMPRODUCT(E8:I8,'datos de entrenamiento'!$F$7:$J$7)-'datos de entrenamiento'!$L$7)</f>
        <v>1</v>
      </c>
    </row>
    <row r="9" spans="1:13" x14ac:dyDescent="0.2">
      <c r="A9">
        <v>191</v>
      </c>
      <c r="B9" s="4" t="s">
        <v>8</v>
      </c>
      <c r="C9" s="4">
        <v>1</v>
      </c>
      <c r="D9" s="4">
        <f t="shared" si="0"/>
        <v>1</v>
      </c>
      <c r="E9" s="1">
        <v>0.41947109999999999</v>
      </c>
      <c r="F9" s="1">
        <v>-0.15654470000000001</v>
      </c>
      <c r="G9" s="1">
        <v>3.0897500000000001E-2</v>
      </c>
      <c r="H9" s="1">
        <v>0.35354479999999999</v>
      </c>
      <c r="I9" s="1">
        <v>0.53427619999999998</v>
      </c>
      <c r="J9">
        <f>SIGN(SUMPRODUCT(E9:I9,'datos de entrenamiento'!$F$7:$J$7)-'datos de entrenamiento'!$L$7)</f>
        <v>1</v>
      </c>
      <c r="L9" s="18" t="s">
        <v>27</v>
      </c>
      <c r="M9" s="19"/>
    </row>
    <row r="10" spans="1:13" x14ac:dyDescent="0.2">
      <c r="A10">
        <v>177</v>
      </c>
      <c r="B10" s="4" t="s">
        <v>4</v>
      </c>
      <c r="C10" s="4">
        <v>1</v>
      </c>
      <c r="D10" s="4">
        <f t="shared" si="0"/>
        <v>1</v>
      </c>
      <c r="E10" s="1">
        <v>0.13188820000000001</v>
      </c>
      <c r="F10" s="1">
        <v>0.19840169999999999</v>
      </c>
      <c r="G10" s="1">
        <v>5.8866500000000002E-2</v>
      </c>
      <c r="H10" s="1">
        <v>1.9349289999999999</v>
      </c>
      <c r="I10" s="1">
        <v>0.29821110000000001</v>
      </c>
      <c r="J10">
        <f>SIGN(SUMPRODUCT(E10:I10,'datos de entrenamiento'!$F$7:$J$7)-'datos de entrenamiento'!$L$7)</f>
        <v>-1</v>
      </c>
      <c r="L10" s="13" t="s">
        <v>19</v>
      </c>
      <c r="M10" s="6">
        <f>(COUNT(J5:J126)+SUMPRODUCT(D5:D126,J5:J126))/(2*COUNT(J5:J126))</f>
        <v>0.84426229508196726</v>
      </c>
    </row>
    <row r="11" spans="1:13" x14ac:dyDescent="0.2">
      <c r="A11">
        <v>42</v>
      </c>
      <c r="B11" s="4" t="s">
        <v>4</v>
      </c>
      <c r="C11" s="4">
        <v>0</v>
      </c>
      <c r="D11" s="4">
        <f t="shared" si="0"/>
        <v>-1</v>
      </c>
      <c r="E11" s="1">
        <v>1.5918E-3</v>
      </c>
      <c r="F11" s="1">
        <v>0.14866099999999999</v>
      </c>
      <c r="G11" s="1">
        <v>-2.6662999999999999E-3</v>
      </c>
      <c r="H11" s="1">
        <v>0.16205120000000001</v>
      </c>
      <c r="I11" s="1">
        <v>0.15609219999999999</v>
      </c>
      <c r="J11">
        <f>SIGN(SUMPRODUCT(E11:I11,'datos de entrenamiento'!$F$7:$J$7)-'datos de entrenamiento'!$L$7)</f>
        <v>-1</v>
      </c>
    </row>
    <row r="12" spans="1:13" x14ac:dyDescent="0.2">
      <c r="A12">
        <v>24</v>
      </c>
      <c r="B12" s="4" t="s">
        <v>8</v>
      </c>
      <c r="C12" s="4">
        <v>1</v>
      </c>
      <c r="D12" s="4">
        <f t="shared" si="0"/>
        <v>1</v>
      </c>
      <c r="E12" s="1">
        <v>9.7675100000000001E-2</v>
      </c>
      <c r="F12" s="1">
        <v>-2.2580209999999998</v>
      </c>
      <c r="G12" s="1">
        <v>6.6624900000000001E-2</v>
      </c>
      <c r="H12" s="1">
        <v>4.5649700000000001E-2</v>
      </c>
      <c r="I12" s="1">
        <v>0.152202</v>
      </c>
      <c r="J12">
        <f>SIGN(SUMPRODUCT(E12:I12,'datos de entrenamiento'!$F$7:$J$7)-'datos de entrenamiento'!$L$7)</f>
        <v>1</v>
      </c>
    </row>
    <row r="13" spans="1:13" x14ac:dyDescent="0.2">
      <c r="A13">
        <v>76</v>
      </c>
      <c r="B13" s="4" t="s">
        <v>4</v>
      </c>
      <c r="C13" s="4">
        <v>0</v>
      </c>
      <c r="D13" s="4">
        <f t="shared" si="0"/>
        <v>-1</v>
      </c>
      <c r="E13" s="1">
        <v>0.2059725</v>
      </c>
      <c r="F13" s="1">
        <v>0.1323696</v>
      </c>
      <c r="G13" s="1">
        <v>3.8961700000000002E-2</v>
      </c>
      <c r="H13" s="1">
        <v>1.7049510000000001</v>
      </c>
      <c r="I13" s="1">
        <v>0.19177230000000001</v>
      </c>
      <c r="J13">
        <f>SIGN(SUMPRODUCT(E13:I13,'datos de entrenamiento'!$F$7:$J$7)-'datos de entrenamiento'!$L$7)</f>
        <v>-1</v>
      </c>
    </row>
    <row r="14" spans="1:13" x14ac:dyDescent="0.2">
      <c r="A14">
        <v>111</v>
      </c>
      <c r="B14" s="4" t="s">
        <v>5</v>
      </c>
      <c r="C14" s="4">
        <v>0</v>
      </c>
      <c r="D14" s="4">
        <f t="shared" si="0"/>
        <v>-1</v>
      </c>
      <c r="E14" s="1">
        <v>9.4128299999999998E-2</v>
      </c>
      <c r="F14" s="1">
        <v>0.36691410000000002</v>
      </c>
      <c r="G14" s="1">
        <v>6.6572900000000004E-2</v>
      </c>
      <c r="H14" s="1">
        <v>1.158839</v>
      </c>
      <c r="I14" s="1">
        <v>0.63224800000000003</v>
      </c>
      <c r="J14">
        <f>SIGN(SUMPRODUCT(E14:I14,'datos de entrenamiento'!$F$7:$J$7)-'datos de entrenamiento'!$L$7)</f>
        <v>-1</v>
      </c>
    </row>
    <row r="15" spans="1:13" x14ac:dyDescent="0.2">
      <c r="A15">
        <v>77</v>
      </c>
      <c r="B15" s="4" t="s">
        <v>4</v>
      </c>
      <c r="C15" s="4">
        <v>0</v>
      </c>
      <c r="D15" s="4">
        <f t="shared" si="0"/>
        <v>-1</v>
      </c>
      <c r="E15" s="1">
        <v>-0.1696203</v>
      </c>
      <c r="F15" s="1">
        <v>7.3403599999999999E-2</v>
      </c>
      <c r="G15" s="1">
        <v>7.2735400000000006E-2</v>
      </c>
      <c r="H15" s="1">
        <v>1.572166</v>
      </c>
      <c r="I15" s="1">
        <v>0.1643561</v>
      </c>
      <c r="J15">
        <f>SIGN(SUMPRODUCT(E15:I15,'datos de entrenamiento'!$F$7:$J$7)-'datos de entrenamiento'!$L$7)</f>
        <v>-1</v>
      </c>
    </row>
    <row r="16" spans="1:13" x14ac:dyDescent="0.2">
      <c r="A16">
        <v>48</v>
      </c>
      <c r="B16" s="4" t="s">
        <v>4</v>
      </c>
      <c r="C16" s="4">
        <v>0</v>
      </c>
      <c r="D16" s="4">
        <f t="shared" si="0"/>
        <v>-1</v>
      </c>
      <c r="E16" s="1">
        <v>2.5840800000000001E-2</v>
      </c>
      <c r="F16" s="1">
        <v>0.1059324</v>
      </c>
      <c r="G16" s="1">
        <v>4.3509800000000001E-2</v>
      </c>
      <c r="H16" s="1">
        <v>0.7934194</v>
      </c>
      <c r="I16" s="1">
        <v>9.9376999999999993E-2</v>
      </c>
      <c r="J16">
        <f>SIGN(SUMPRODUCT(E16:I16,'datos de entrenamiento'!$F$7:$J$7)-'datos de entrenamiento'!$L$7)</f>
        <v>-1</v>
      </c>
    </row>
    <row r="17" spans="1:10" x14ac:dyDescent="0.2">
      <c r="A17">
        <v>133</v>
      </c>
      <c r="B17" s="4" t="s">
        <v>4</v>
      </c>
      <c r="C17" s="4">
        <v>0</v>
      </c>
      <c r="D17" s="4">
        <f t="shared" si="0"/>
        <v>-1</v>
      </c>
      <c r="E17" s="1">
        <v>5.0847200000000002E-2</v>
      </c>
      <c r="F17" s="1">
        <v>-2.97468E-2</v>
      </c>
      <c r="G17" s="1">
        <v>5.6477399999999997E-2</v>
      </c>
      <c r="H17" s="1">
        <v>0.39562039999999998</v>
      </c>
      <c r="I17" s="1">
        <v>0.1195929</v>
      </c>
      <c r="J17">
        <f>SIGN(SUMPRODUCT(E17:I17,'datos de entrenamiento'!$F$7:$J$7)-'datos de entrenamiento'!$L$7)</f>
        <v>-1</v>
      </c>
    </row>
    <row r="18" spans="1:10" x14ac:dyDescent="0.2">
      <c r="A18">
        <v>28</v>
      </c>
      <c r="B18" s="4" t="s">
        <v>8</v>
      </c>
      <c r="C18" s="4">
        <v>1</v>
      </c>
      <c r="D18" s="4">
        <f t="shared" si="0"/>
        <v>1</v>
      </c>
      <c r="E18" s="1">
        <v>0.32361960000000001</v>
      </c>
      <c r="F18" s="1">
        <v>0.1141382</v>
      </c>
      <c r="G18" s="1">
        <v>3.1479399999999998E-2</v>
      </c>
      <c r="H18" s="1">
        <v>5.5736000000000001E-2</v>
      </c>
      <c r="I18" s="1">
        <v>0.76675749999999998</v>
      </c>
      <c r="J18">
        <f>SIGN(SUMPRODUCT(E18:I18,'datos de entrenamiento'!$F$7:$J$7)-'datos de entrenamiento'!$L$7)</f>
        <v>1</v>
      </c>
    </row>
    <row r="19" spans="1:10" x14ac:dyDescent="0.2">
      <c r="A19">
        <v>120</v>
      </c>
      <c r="B19" s="4" t="s">
        <v>4</v>
      </c>
      <c r="C19" s="4">
        <v>0</v>
      </c>
      <c r="D19" s="4">
        <f t="shared" si="0"/>
        <v>-1</v>
      </c>
      <c r="E19" s="1">
        <v>8.6010900000000001E-2</v>
      </c>
      <c r="F19" s="1">
        <v>0.16406200000000001</v>
      </c>
      <c r="G19" s="1">
        <v>3.8055899999999997E-2</v>
      </c>
      <c r="H19" s="1">
        <v>0.83648909999999999</v>
      </c>
      <c r="I19" s="1">
        <v>0.13193469999999999</v>
      </c>
      <c r="J19">
        <f>SIGN(SUMPRODUCT(E19:I19,'datos de entrenamiento'!$F$7:$J$7)-'datos de entrenamiento'!$L$7)</f>
        <v>-1</v>
      </c>
    </row>
    <row r="20" spans="1:10" x14ac:dyDescent="0.2">
      <c r="A20">
        <v>57</v>
      </c>
      <c r="B20" s="4" t="s">
        <v>4</v>
      </c>
      <c r="C20" s="4">
        <v>0</v>
      </c>
      <c r="D20" s="4">
        <f t="shared" si="0"/>
        <v>-1</v>
      </c>
      <c r="E20" s="1">
        <v>0.23382030000000001</v>
      </c>
      <c r="F20" s="1">
        <v>0.46695249999999999</v>
      </c>
      <c r="G20" s="1">
        <v>9.2200799999999999E-2</v>
      </c>
      <c r="H20" s="1">
        <v>11.16999</v>
      </c>
      <c r="I20" s="1">
        <v>0.2733042</v>
      </c>
      <c r="J20">
        <f>SIGN(SUMPRODUCT(E20:I20,'datos de entrenamiento'!$F$7:$J$7)-'datos de entrenamiento'!$L$7)</f>
        <v>-1</v>
      </c>
    </row>
    <row r="21" spans="1:10" x14ac:dyDescent="0.2">
      <c r="A21">
        <v>181</v>
      </c>
      <c r="B21" s="4" t="s">
        <v>7</v>
      </c>
      <c r="C21" s="4">
        <v>0</v>
      </c>
      <c r="D21" s="4">
        <f t="shared" si="0"/>
        <v>-1</v>
      </c>
      <c r="E21" s="1">
        <v>6.1305199999999997E-2</v>
      </c>
      <c r="F21" s="1">
        <v>-0.1094951</v>
      </c>
      <c r="G21" s="1">
        <v>3.9947400000000001E-2</v>
      </c>
      <c r="H21" s="1">
        <v>0.41015030000000002</v>
      </c>
      <c r="I21" s="1">
        <v>0.28602539999999999</v>
      </c>
      <c r="J21">
        <f>SIGN(SUMPRODUCT(E21:I21,'datos de entrenamiento'!$F$7:$J$7)-'datos de entrenamiento'!$L$7)</f>
        <v>1</v>
      </c>
    </row>
    <row r="22" spans="1:10" x14ac:dyDescent="0.2">
      <c r="A22">
        <v>78</v>
      </c>
      <c r="B22" s="4" t="s">
        <v>5</v>
      </c>
      <c r="C22" s="4">
        <v>0</v>
      </c>
      <c r="D22" s="4">
        <f t="shared" si="0"/>
        <v>-1</v>
      </c>
      <c r="E22" s="1">
        <v>3.4947800000000001E-2</v>
      </c>
      <c r="F22" s="1">
        <v>-6.9583699999999998E-2</v>
      </c>
      <c r="G22" s="1">
        <v>3.96081E-2</v>
      </c>
      <c r="H22" s="1">
        <v>3.3700730000000001</v>
      </c>
      <c r="I22" s="1">
        <v>8.6247500000000005E-2</v>
      </c>
      <c r="J22">
        <f>SIGN(SUMPRODUCT(E22:I22,'datos de entrenamiento'!$F$7:$J$7)-'datos de entrenamiento'!$L$7)</f>
        <v>-1</v>
      </c>
    </row>
    <row r="23" spans="1:10" x14ac:dyDescent="0.2">
      <c r="A23">
        <v>204</v>
      </c>
      <c r="B23" s="4" t="s">
        <v>4</v>
      </c>
      <c r="C23" s="4">
        <v>0</v>
      </c>
      <c r="D23" s="4">
        <f t="shared" si="0"/>
        <v>-1</v>
      </c>
      <c r="E23" s="1">
        <v>8.9144200000000007E-2</v>
      </c>
      <c r="F23" s="1">
        <v>-4.0670400000000002E-2</v>
      </c>
      <c r="G23" s="1">
        <v>5.64997E-2</v>
      </c>
      <c r="H23" s="1">
        <v>1.4708319999999999</v>
      </c>
      <c r="I23" s="1">
        <v>0.1056923</v>
      </c>
      <c r="J23">
        <f>SIGN(SUMPRODUCT(E23:I23,'datos de entrenamiento'!$F$7:$J$7)-'datos de entrenamiento'!$L$7)</f>
        <v>-1</v>
      </c>
    </row>
    <row r="24" spans="1:10" x14ac:dyDescent="0.2">
      <c r="A24">
        <v>127</v>
      </c>
      <c r="B24" s="4" t="s">
        <v>4</v>
      </c>
      <c r="C24" s="4">
        <v>0</v>
      </c>
      <c r="D24" s="4">
        <f t="shared" si="0"/>
        <v>-1</v>
      </c>
      <c r="E24" s="1">
        <v>0.19778509999999999</v>
      </c>
      <c r="F24" s="1">
        <v>0.20185420000000001</v>
      </c>
      <c r="G24" s="1">
        <v>3.9045799999999999E-2</v>
      </c>
      <c r="H24" s="1">
        <v>0.66248130000000005</v>
      </c>
      <c r="I24" s="1">
        <v>0.2909679</v>
      </c>
      <c r="J24">
        <f>SIGN(SUMPRODUCT(E24:I24,'datos de entrenamiento'!$F$7:$J$7)-'datos de entrenamiento'!$L$7)</f>
        <v>-1</v>
      </c>
    </row>
    <row r="25" spans="1:10" x14ac:dyDescent="0.2">
      <c r="A25">
        <v>91</v>
      </c>
      <c r="B25" s="4" t="s">
        <v>8</v>
      </c>
      <c r="C25" s="4">
        <v>1</v>
      </c>
      <c r="D25" s="4">
        <f t="shared" si="0"/>
        <v>1</v>
      </c>
      <c r="E25" s="1">
        <v>-0.21106430000000001</v>
      </c>
      <c r="F25" s="1">
        <v>-0.85387860000000004</v>
      </c>
      <c r="G25" s="1">
        <v>4.7360100000000002E-2</v>
      </c>
      <c r="H25" s="1">
        <v>6.8954799999999997E-2</v>
      </c>
      <c r="I25" s="1">
        <v>0.54774279999999997</v>
      </c>
      <c r="J25">
        <f>SIGN(SUMPRODUCT(E25:I25,'datos de entrenamiento'!$F$7:$J$7)-'datos de entrenamiento'!$L$7)</f>
        <v>1</v>
      </c>
    </row>
    <row r="26" spans="1:10" x14ac:dyDescent="0.2">
      <c r="A26">
        <v>146</v>
      </c>
      <c r="B26" s="4" t="s">
        <v>4</v>
      </c>
      <c r="C26" s="4">
        <v>0</v>
      </c>
      <c r="D26" s="4">
        <f t="shared" si="0"/>
        <v>-1</v>
      </c>
      <c r="E26" s="1">
        <v>5.6824E-2</v>
      </c>
      <c r="F26" s="1">
        <v>0.39108530000000002</v>
      </c>
      <c r="G26" s="1">
        <v>6.8927100000000005E-2</v>
      </c>
      <c r="H26" s="1">
        <v>2.7371210000000001</v>
      </c>
      <c r="I26" s="1">
        <v>0.18327080000000001</v>
      </c>
      <c r="J26">
        <f>SIGN(SUMPRODUCT(E26:I26,'datos de entrenamiento'!$F$7:$J$7)-'datos de entrenamiento'!$L$7)</f>
        <v>-1</v>
      </c>
    </row>
    <row r="27" spans="1:10" x14ac:dyDescent="0.2">
      <c r="A27">
        <v>47</v>
      </c>
      <c r="B27" s="4" t="s">
        <v>4</v>
      </c>
      <c r="C27" s="4">
        <v>0</v>
      </c>
      <c r="D27" s="4">
        <f t="shared" si="0"/>
        <v>-1</v>
      </c>
      <c r="E27" s="1">
        <v>1.53945E-2</v>
      </c>
      <c r="F27" s="1">
        <v>7.6581200000000002E-2</v>
      </c>
      <c r="G27" s="1">
        <v>3.4475400000000003E-2</v>
      </c>
      <c r="H27" s="1">
        <v>0.6033657</v>
      </c>
      <c r="I27" s="1">
        <v>9.4719200000000003E-2</v>
      </c>
      <c r="J27">
        <f>SIGN(SUMPRODUCT(E27:I27,'datos de entrenamiento'!$F$7:$J$7)-'datos de entrenamiento'!$L$7)</f>
        <v>-1</v>
      </c>
    </row>
    <row r="28" spans="1:10" x14ac:dyDescent="0.2">
      <c r="A28">
        <v>27</v>
      </c>
      <c r="B28" s="4" t="s">
        <v>8</v>
      </c>
      <c r="C28" s="4">
        <v>1</v>
      </c>
      <c r="D28" s="4">
        <f t="shared" si="0"/>
        <v>1</v>
      </c>
      <c r="E28" s="1">
        <v>-0.2525732</v>
      </c>
      <c r="F28" s="1">
        <v>-1.382541</v>
      </c>
      <c r="G28" s="1">
        <v>3.3042500000000002E-2</v>
      </c>
      <c r="H28" s="1">
        <v>4.6837700000000003E-2</v>
      </c>
      <c r="I28" s="1">
        <v>4.1728599999999998E-2</v>
      </c>
      <c r="J28">
        <f>SIGN(SUMPRODUCT(E28:I28,'datos de entrenamiento'!$F$7:$J$7)-'datos de entrenamiento'!$L$7)</f>
        <v>1</v>
      </c>
    </row>
    <row r="29" spans="1:10" x14ac:dyDescent="0.2">
      <c r="A29">
        <v>162</v>
      </c>
      <c r="B29" s="4" t="s">
        <v>4</v>
      </c>
      <c r="C29" s="4">
        <v>0</v>
      </c>
      <c r="D29" s="4">
        <f t="shared" si="0"/>
        <v>-1</v>
      </c>
      <c r="E29" s="1">
        <v>8.4355700000000006E-2</v>
      </c>
      <c r="F29" s="1">
        <v>0.28937570000000001</v>
      </c>
      <c r="G29" s="1">
        <v>2.6209400000000001E-2</v>
      </c>
      <c r="H29" s="1">
        <v>0.5743819</v>
      </c>
      <c r="I29" s="1">
        <v>0.29558679999999998</v>
      </c>
      <c r="J29">
        <f>SIGN(SUMPRODUCT(E29:I29,'datos de entrenamiento'!$F$7:$J$7)-'datos de entrenamiento'!$L$7)</f>
        <v>-1</v>
      </c>
    </row>
    <row r="30" spans="1:10" x14ac:dyDescent="0.2">
      <c r="A30">
        <v>205</v>
      </c>
      <c r="B30" s="4" t="s">
        <v>4</v>
      </c>
      <c r="C30" s="4">
        <v>0</v>
      </c>
      <c r="D30" s="4">
        <f t="shared" si="0"/>
        <v>-1</v>
      </c>
      <c r="E30" s="1">
        <v>2.3951500000000001E-2</v>
      </c>
      <c r="F30" s="1">
        <v>0.45487460000000002</v>
      </c>
      <c r="G30" s="1">
        <v>5.9613399999999997E-2</v>
      </c>
      <c r="H30" s="1">
        <v>1.2943929999999999</v>
      </c>
      <c r="I30" s="1">
        <v>0.18229290000000001</v>
      </c>
      <c r="J30">
        <f>SIGN(SUMPRODUCT(E30:I30,'datos de entrenamiento'!$F$7:$J$7)-'datos de entrenamiento'!$L$7)</f>
        <v>-1</v>
      </c>
    </row>
    <row r="31" spans="1:10" x14ac:dyDescent="0.2">
      <c r="A31">
        <v>144</v>
      </c>
      <c r="B31" s="4" t="s">
        <v>4</v>
      </c>
      <c r="C31" s="4">
        <v>0</v>
      </c>
      <c r="D31" s="4">
        <f t="shared" si="0"/>
        <v>-1</v>
      </c>
      <c r="E31" s="1">
        <v>2.6503100000000002E-2</v>
      </c>
      <c r="F31" s="1">
        <v>0.30154219999999998</v>
      </c>
      <c r="G31" s="1">
        <v>8.1707199999999994E-2</v>
      </c>
      <c r="H31" s="1">
        <v>3.9731160000000001</v>
      </c>
      <c r="I31" s="1">
        <v>0.17607800000000001</v>
      </c>
      <c r="J31">
        <f>SIGN(SUMPRODUCT(E31:I31,'datos de entrenamiento'!$F$7:$J$7)-'datos de entrenamiento'!$L$7)</f>
        <v>-1</v>
      </c>
    </row>
    <row r="32" spans="1:10" x14ac:dyDescent="0.2">
      <c r="A32">
        <v>131</v>
      </c>
      <c r="B32" s="4" t="s">
        <v>4</v>
      </c>
      <c r="C32" s="4">
        <v>0</v>
      </c>
      <c r="D32" s="4">
        <f t="shared" si="0"/>
        <v>-1</v>
      </c>
      <c r="E32" s="1">
        <v>-0.39540110000000001</v>
      </c>
      <c r="F32" s="1">
        <v>6.8777900000000003E-2</v>
      </c>
      <c r="G32" s="1">
        <v>1.8374000000000001E-3</v>
      </c>
      <c r="H32" s="1">
        <v>0.1440341</v>
      </c>
      <c r="I32" s="1">
        <v>9.15908E-2</v>
      </c>
      <c r="J32">
        <f>SIGN(SUMPRODUCT(E32:I32,'datos de entrenamiento'!$F$7:$J$7)-'datos de entrenamiento'!$L$7)</f>
        <v>-1</v>
      </c>
    </row>
    <row r="33" spans="1:10" x14ac:dyDescent="0.2">
      <c r="A33">
        <v>216</v>
      </c>
      <c r="B33" s="4" t="s">
        <v>4</v>
      </c>
      <c r="C33" s="4">
        <v>0</v>
      </c>
      <c r="D33" s="4">
        <f t="shared" si="0"/>
        <v>-1</v>
      </c>
      <c r="E33" s="1">
        <v>0.32800509999999999</v>
      </c>
      <c r="F33" s="1">
        <v>0.1210137</v>
      </c>
      <c r="G33" s="1">
        <v>2.05971E-2</v>
      </c>
      <c r="H33" s="1">
        <v>3.564794</v>
      </c>
      <c r="I33" s="1">
        <v>6.7744399999999996E-2</v>
      </c>
      <c r="J33">
        <f>SIGN(SUMPRODUCT(E33:I33,'datos de entrenamiento'!$F$7:$J$7)-'datos de entrenamiento'!$L$7)</f>
        <v>-1</v>
      </c>
    </row>
    <row r="34" spans="1:10" x14ac:dyDescent="0.2">
      <c r="A34">
        <v>82</v>
      </c>
      <c r="B34" s="4" t="s">
        <v>7</v>
      </c>
      <c r="C34" s="4">
        <v>1</v>
      </c>
      <c r="D34" s="4">
        <f t="shared" si="0"/>
        <v>1</v>
      </c>
      <c r="E34" s="1">
        <v>0.13586200000000001</v>
      </c>
      <c r="F34" s="1">
        <v>-0.30496040000000002</v>
      </c>
      <c r="G34" s="1">
        <v>5.32725E-2</v>
      </c>
      <c r="H34" s="1">
        <v>4.9464500000000002E-2</v>
      </c>
      <c r="I34" s="1">
        <v>0.20796619999999999</v>
      </c>
      <c r="J34">
        <f>SIGN(SUMPRODUCT(E34:I34,'datos de entrenamiento'!$F$7:$J$7)-'datos de entrenamiento'!$L$7)</f>
        <v>1</v>
      </c>
    </row>
    <row r="35" spans="1:10" x14ac:dyDescent="0.2">
      <c r="A35">
        <v>126</v>
      </c>
      <c r="B35" s="4" t="s">
        <v>4</v>
      </c>
      <c r="C35" s="4">
        <v>0</v>
      </c>
      <c r="D35" s="4">
        <f t="shared" si="0"/>
        <v>-1</v>
      </c>
      <c r="E35" s="1">
        <v>8.2943900000000001E-2</v>
      </c>
      <c r="F35" s="1">
        <v>0.13491980000000001</v>
      </c>
      <c r="G35" s="1">
        <v>3.2888800000000003E-2</v>
      </c>
      <c r="H35" s="1">
        <v>0.23090649999999999</v>
      </c>
      <c r="I35" s="1">
        <v>0.20024020000000001</v>
      </c>
      <c r="J35">
        <f>SIGN(SUMPRODUCT(E35:I35,'datos de entrenamiento'!$F$7:$J$7)-'datos de entrenamiento'!$L$7)</f>
        <v>-1</v>
      </c>
    </row>
    <row r="36" spans="1:10" x14ac:dyDescent="0.2">
      <c r="A36">
        <v>142</v>
      </c>
      <c r="B36" s="4" t="s">
        <v>4</v>
      </c>
      <c r="C36" s="4">
        <v>0</v>
      </c>
      <c r="D36" s="4">
        <f t="shared" si="0"/>
        <v>-1</v>
      </c>
      <c r="E36" s="1">
        <v>3.3646500000000003E-2</v>
      </c>
      <c r="F36" s="1">
        <v>0.35680220000000001</v>
      </c>
      <c r="G36" s="1">
        <v>8.2138699999999995E-2</v>
      </c>
      <c r="H36" s="1">
        <v>2.2385929999999998</v>
      </c>
      <c r="I36" s="1">
        <v>0.2353855</v>
      </c>
      <c r="J36">
        <f>SIGN(SUMPRODUCT(E36:I36,'datos de entrenamiento'!$F$7:$J$7)-'datos de entrenamiento'!$L$7)</f>
        <v>-1</v>
      </c>
    </row>
    <row r="37" spans="1:10" x14ac:dyDescent="0.2">
      <c r="A37">
        <v>160</v>
      </c>
      <c r="B37" s="4" t="s">
        <v>4</v>
      </c>
      <c r="C37" s="4">
        <v>0</v>
      </c>
      <c r="D37" s="4">
        <f t="shared" ref="D37:D68" si="1">C37*2-1</f>
        <v>-1</v>
      </c>
      <c r="E37" s="1">
        <v>3.6138999999999998E-2</v>
      </c>
      <c r="F37" s="1">
        <v>0.27237</v>
      </c>
      <c r="G37" s="1">
        <v>3.7122099999999998E-2</v>
      </c>
      <c r="H37" s="1">
        <v>0.56395169999999994</v>
      </c>
      <c r="I37" s="1">
        <v>0.21267510000000001</v>
      </c>
      <c r="J37">
        <f>SIGN(SUMPRODUCT(E37:I37,'datos de entrenamiento'!$F$7:$J$7)-'datos de entrenamiento'!$L$7)</f>
        <v>-1</v>
      </c>
    </row>
    <row r="38" spans="1:10" x14ac:dyDescent="0.2">
      <c r="A38">
        <v>17</v>
      </c>
      <c r="B38" s="4" t="s">
        <v>6</v>
      </c>
      <c r="C38" s="4">
        <v>1</v>
      </c>
      <c r="D38" s="4">
        <f t="shared" si="1"/>
        <v>1</v>
      </c>
      <c r="E38" s="1">
        <v>1.9329E-3</v>
      </c>
      <c r="F38" s="1">
        <v>1.2974599999999999E-2</v>
      </c>
      <c r="G38" s="1">
        <v>2.6978100000000001E-2</v>
      </c>
      <c r="H38" s="1">
        <v>0.19003719999999999</v>
      </c>
      <c r="I38" s="1">
        <v>0.31408019999999998</v>
      </c>
      <c r="J38">
        <f>SIGN(SUMPRODUCT(E38:I38,'datos de entrenamiento'!$F$7:$J$7)-'datos de entrenamiento'!$L$7)</f>
        <v>-1</v>
      </c>
    </row>
    <row r="39" spans="1:10" x14ac:dyDescent="0.2">
      <c r="A39">
        <v>125</v>
      </c>
      <c r="B39" s="4" t="s">
        <v>5</v>
      </c>
      <c r="C39" s="4">
        <v>0</v>
      </c>
      <c r="D39" s="4">
        <f t="shared" si="1"/>
        <v>-1</v>
      </c>
      <c r="E39" s="1">
        <v>0.1005847</v>
      </c>
      <c r="F39" s="1">
        <v>0.10475230000000001</v>
      </c>
      <c r="G39" s="1">
        <v>3.1094E-2</v>
      </c>
      <c r="H39" s="1">
        <v>0.28263830000000001</v>
      </c>
      <c r="I39" s="1">
        <v>0.20954410000000001</v>
      </c>
      <c r="J39">
        <f>SIGN(SUMPRODUCT(E39:I39,'datos de entrenamiento'!$F$7:$J$7)-'datos de entrenamiento'!$L$7)</f>
        <v>-1</v>
      </c>
    </row>
    <row r="40" spans="1:10" x14ac:dyDescent="0.2">
      <c r="A40">
        <v>112</v>
      </c>
      <c r="B40" s="4" t="s">
        <v>4</v>
      </c>
      <c r="C40" s="4">
        <v>0</v>
      </c>
      <c r="D40" s="4">
        <f t="shared" si="1"/>
        <v>-1</v>
      </c>
      <c r="E40" s="1">
        <v>8.6307300000000003E-2</v>
      </c>
      <c r="F40" s="1">
        <v>0.37169000000000002</v>
      </c>
      <c r="G40" s="1">
        <v>5.8963399999999999E-2</v>
      </c>
      <c r="H40" s="1">
        <v>1.1861900000000001</v>
      </c>
      <c r="I40" s="1">
        <v>0.59691749999999999</v>
      </c>
      <c r="J40">
        <f>SIGN(SUMPRODUCT(E40:I40,'datos de entrenamiento'!$F$7:$J$7)-'datos de entrenamiento'!$L$7)</f>
        <v>-1</v>
      </c>
    </row>
    <row r="41" spans="1:10" x14ac:dyDescent="0.2">
      <c r="A41">
        <v>136</v>
      </c>
      <c r="B41" s="4" t="s">
        <v>4</v>
      </c>
      <c r="C41" s="4">
        <v>0</v>
      </c>
      <c r="D41" s="4">
        <f t="shared" si="1"/>
        <v>-1</v>
      </c>
      <c r="E41" s="1">
        <v>0.17474390000000001</v>
      </c>
      <c r="F41" s="1">
        <v>0.41811589999999998</v>
      </c>
      <c r="G41" s="1">
        <v>5.2374999999999998E-2</v>
      </c>
      <c r="H41" s="1">
        <v>1.869866</v>
      </c>
      <c r="I41" s="1">
        <v>0.26083990000000001</v>
      </c>
      <c r="J41">
        <f>SIGN(SUMPRODUCT(E41:I41,'datos de entrenamiento'!$F$7:$J$7)-'datos de entrenamiento'!$L$7)</f>
        <v>-1</v>
      </c>
    </row>
    <row r="42" spans="1:10" x14ac:dyDescent="0.2">
      <c r="A42">
        <v>61</v>
      </c>
      <c r="B42" s="4" t="s">
        <v>4</v>
      </c>
      <c r="C42" s="4">
        <v>0</v>
      </c>
      <c r="D42" s="4">
        <f t="shared" si="1"/>
        <v>-1</v>
      </c>
      <c r="E42" s="1">
        <v>0.15924140000000001</v>
      </c>
      <c r="F42" s="1">
        <v>0.42921550000000003</v>
      </c>
      <c r="G42" s="1">
        <v>6.9641900000000007E-2</v>
      </c>
      <c r="H42" s="1">
        <v>5.0608820000000003</v>
      </c>
      <c r="I42" s="1">
        <v>0.22095290000000001</v>
      </c>
      <c r="J42">
        <f>SIGN(SUMPRODUCT(E42:I42,'datos de entrenamiento'!$F$7:$J$7)-'datos de entrenamiento'!$L$7)</f>
        <v>-1</v>
      </c>
    </row>
    <row r="43" spans="1:10" x14ac:dyDescent="0.2">
      <c r="A43">
        <v>141</v>
      </c>
      <c r="B43" s="4" t="s">
        <v>4</v>
      </c>
      <c r="C43" s="4">
        <v>0</v>
      </c>
      <c r="D43" s="4">
        <f t="shared" si="1"/>
        <v>-1</v>
      </c>
      <c r="E43" s="1">
        <v>5.3870000000000001E-2</v>
      </c>
      <c r="F43" s="1">
        <v>0.33828629999999998</v>
      </c>
      <c r="G43" s="1">
        <v>7.2233099999999995E-2</v>
      </c>
      <c r="H43" s="1">
        <v>1.826908</v>
      </c>
      <c r="I43" s="1">
        <v>0.18357670000000001</v>
      </c>
      <c r="J43">
        <f>SIGN(SUMPRODUCT(E43:I43,'datos de entrenamiento'!$F$7:$J$7)-'datos de entrenamiento'!$L$7)</f>
        <v>-1</v>
      </c>
    </row>
    <row r="44" spans="1:10" x14ac:dyDescent="0.2">
      <c r="A44">
        <v>94</v>
      </c>
      <c r="B44" s="4" t="s">
        <v>4</v>
      </c>
      <c r="C44" s="4">
        <v>0</v>
      </c>
      <c r="D44" s="4">
        <f t="shared" si="1"/>
        <v>-1</v>
      </c>
      <c r="E44" s="1">
        <v>0.11142730000000001</v>
      </c>
      <c r="F44" s="1">
        <v>0.47041830000000001</v>
      </c>
      <c r="G44" s="1">
        <v>5.1393500000000002E-2</v>
      </c>
      <c r="H44" s="1">
        <v>1.916847</v>
      </c>
      <c r="I44" s="1">
        <v>0.1895075</v>
      </c>
      <c r="J44">
        <f>SIGN(SUMPRODUCT(E44:I44,'datos de entrenamiento'!$F$7:$J$7)-'datos de entrenamiento'!$L$7)</f>
        <v>-1</v>
      </c>
    </row>
    <row r="45" spans="1:10" x14ac:dyDescent="0.2">
      <c r="A45">
        <v>84</v>
      </c>
      <c r="B45" s="4" t="s">
        <v>8</v>
      </c>
      <c r="C45" s="4">
        <v>1</v>
      </c>
      <c r="D45" s="4">
        <f t="shared" si="1"/>
        <v>1</v>
      </c>
      <c r="E45" s="1">
        <v>3.3396000000000002E-2</v>
      </c>
      <c r="F45" s="1">
        <v>-0.30283339999999997</v>
      </c>
      <c r="G45" s="1">
        <v>1.0686000000000001E-3</v>
      </c>
      <c r="H45" s="1">
        <v>0.24321580000000001</v>
      </c>
      <c r="I45" s="1">
        <v>0.8027976</v>
      </c>
      <c r="J45">
        <f>SIGN(SUMPRODUCT(E45:I45,'datos de entrenamiento'!$F$7:$J$7)-'datos de entrenamiento'!$L$7)</f>
        <v>1</v>
      </c>
    </row>
    <row r="46" spans="1:10" x14ac:dyDescent="0.2">
      <c r="A46">
        <v>9</v>
      </c>
      <c r="B46" s="4" t="s">
        <v>7</v>
      </c>
      <c r="C46" s="4">
        <v>1</v>
      </c>
      <c r="D46" s="4">
        <f t="shared" si="1"/>
        <v>1</v>
      </c>
      <c r="E46" s="1">
        <v>4.0332300000000001E-2</v>
      </c>
      <c r="F46" s="1">
        <v>-0.19844149999999999</v>
      </c>
      <c r="G46" s="1">
        <v>3.4754100000000003E-2</v>
      </c>
      <c r="H46" s="1">
        <v>0.2141342</v>
      </c>
      <c r="I46" s="1">
        <v>6.6475900000000004E-2</v>
      </c>
      <c r="J46">
        <f>SIGN(SUMPRODUCT(E46:I46,'datos de entrenamiento'!$F$7:$J$7)-'datos de entrenamiento'!$L$7)</f>
        <v>1</v>
      </c>
    </row>
    <row r="47" spans="1:10" x14ac:dyDescent="0.2">
      <c r="A47">
        <v>22</v>
      </c>
      <c r="B47" s="4" t="s">
        <v>8</v>
      </c>
      <c r="C47" s="4">
        <v>1</v>
      </c>
      <c r="D47" s="4">
        <f t="shared" si="1"/>
        <v>1</v>
      </c>
      <c r="E47" s="1">
        <v>0.2492964</v>
      </c>
      <c r="F47" s="1">
        <v>-0.82125309999999996</v>
      </c>
      <c r="G47" s="1">
        <v>-1.05019E-2</v>
      </c>
      <c r="H47" s="1">
        <v>4.57112E-2</v>
      </c>
      <c r="I47" s="1">
        <v>0.2077814</v>
      </c>
      <c r="J47">
        <f>SIGN(SUMPRODUCT(E47:I47,'datos de entrenamiento'!$F$7:$J$7)-'datos de entrenamiento'!$L$7)</f>
        <v>1</v>
      </c>
    </row>
    <row r="48" spans="1:10" x14ac:dyDescent="0.2">
      <c r="A48">
        <v>15</v>
      </c>
      <c r="B48" s="4" t="s">
        <v>8</v>
      </c>
      <c r="C48" s="4">
        <v>1</v>
      </c>
      <c r="D48" s="4">
        <f t="shared" si="1"/>
        <v>1</v>
      </c>
      <c r="E48" s="1">
        <v>0.29284559999999998</v>
      </c>
      <c r="F48" s="1">
        <v>-0.44408720000000002</v>
      </c>
      <c r="G48" s="1">
        <v>6.3220499999999999E-2</v>
      </c>
      <c r="H48" s="1">
        <v>0.40916530000000001</v>
      </c>
      <c r="I48" s="1">
        <v>0.53672520000000001</v>
      </c>
      <c r="J48">
        <f>SIGN(SUMPRODUCT(E48:I48,'datos de entrenamiento'!$F$7:$J$7)-'datos de entrenamiento'!$L$7)</f>
        <v>1</v>
      </c>
    </row>
    <row r="49" spans="1:10" x14ac:dyDescent="0.2">
      <c r="A49">
        <v>20</v>
      </c>
      <c r="B49" s="4" t="s">
        <v>8</v>
      </c>
      <c r="C49" s="4">
        <v>1</v>
      </c>
      <c r="D49" s="4">
        <f t="shared" si="1"/>
        <v>1</v>
      </c>
      <c r="E49" s="1">
        <v>0.1737504</v>
      </c>
      <c r="F49" s="1">
        <v>-0.2126392</v>
      </c>
      <c r="G49" s="1">
        <v>-1.4288199999999999E-2</v>
      </c>
      <c r="H49" s="1">
        <v>0.25286120000000001</v>
      </c>
      <c r="I49" s="1">
        <v>0.18170049999999999</v>
      </c>
      <c r="J49">
        <f>SIGN(SUMPRODUCT(E49:I49,'datos de entrenamiento'!$F$7:$J$7)-'datos de entrenamiento'!$L$7)</f>
        <v>1</v>
      </c>
    </row>
    <row r="50" spans="1:10" x14ac:dyDescent="0.2">
      <c r="A50">
        <v>102</v>
      </c>
      <c r="B50" s="4" t="s">
        <v>4</v>
      </c>
      <c r="C50" s="4">
        <v>0</v>
      </c>
      <c r="D50" s="4">
        <f t="shared" si="1"/>
        <v>-1</v>
      </c>
      <c r="E50" s="1">
        <v>6.4659599999999998E-2</v>
      </c>
      <c r="F50" s="1">
        <v>0.1111962</v>
      </c>
      <c r="G50" s="1">
        <v>3.02283E-2</v>
      </c>
      <c r="H50" s="1">
        <v>0.31462000000000001</v>
      </c>
      <c r="I50" s="1">
        <v>0.2226321</v>
      </c>
      <c r="J50">
        <f>SIGN(SUMPRODUCT(E50:I50,'datos de entrenamiento'!$F$7:$J$7)-'datos de entrenamiento'!$L$7)</f>
        <v>-1</v>
      </c>
    </row>
    <row r="51" spans="1:10" x14ac:dyDescent="0.2">
      <c r="A51">
        <v>208</v>
      </c>
      <c r="B51" s="4" t="s">
        <v>8</v>
      </c>
      <c r="C51" s="4">
        <v>1</v>
      </c>
      <c r="D51" s="4">
        <f t="shared" si="1"/>
        <v>1</v>
      </c>
      <c r="E51" s="1">
        <v>2.8727599999999999E-2</v>
      </c>
      <c r="F51" s="1">
        <v>-1.846117</v>
      </c>
      <c r="G51" s="1">
        <v>3.3956E-2</v>
      </c>
      <c r="H51" s="1">
        <v>3.4679799999999997E-2</v>
      </c>
      <c r="I51" s="1">
        <v>0.67804419999999999</v>
      </c>
      <c r="J51">
        <f>SIGN(SUMPRODUCT(E51:I51,'datos de entrenamiento'!$F$7:$J$7)-'datos de entrenamiento'!$L$7)</f>
        <v>1</v>
      </c>
    </row>
    <row r="52" spans="1:10" x14ac:dyDescent="0.2">
      <c r="A52">
        <v>152</v>
      </c>
      <c r="B52" s="4" t="s">
        <v>4</v>
      </c>
      <c r="C52" s="4">
        <v>0</v>
      </c>
      <c r="D52" s="4">
        <f t="shared" si="1"/>
        <v>-1</v>
      </c>
      <c r="E52" s="1">
        <v>8.7961700000000004E-2</v>
      </c>
      <c r="F52" s="1">
        <v>0.24824679999999999</v>
      </c>
      <c r="G52" s="1">
        <v>2.45603E-2</v>
      </c>
      <c r="H52" s="1">
        <v>1.7273430000000001</v>
      </c>
      <c r="I52" s="1">
        <v>0.21225669999999999</v>
      </c>
      <c r="J52">
        <f>SIGN(SUMPRODUCT(E52:I52,'datos de entrenamiento'!$F$7:$J$7)-'datos de entrenamiento'!$L$7)</f>
        <v>-1</v>
      </c>
    </row>
    <row r="53" spans="1:10" x14ac:dyDescent="0.2">
      <c r="A53">
        <v>116</v>
      </c>
      <c r="B53" s="4" t="s">
        <v>4</v>
      </c>
      <c r="C53" s="4">
        <v>0</v>
      </c>
      <c r="D53" s="4">
        <f t="shared" si="1"/>
        <v>-1</v>
      </c>
      <c r="E53" s="1">
        <v>0.14446990000000001</v>
      </c>
      <c r="F53" s="1">
        <v>0.45690599999999998</v>
      </c>
      <c r="G53" s="1">
        <v>5.39351E-2</v>
      </c>
      <c r="H53" s="1">
        <v>2.1071740000000001</v>
      </c>
      <c r="I53" s="1">
        <v>0.22463379999999999</v>
      </c>
      <c r="J53">
        <f>SIGN(SUMPRODUCT(E53:I53,'datos de entrenamiento'!$F$7:$J$7)-'datos de entrenamiento'!$L$7)</f>
        <v>-1</v>
      </c>
    </row>
    <row r="54" spans="1:10" x14ac:dyDescent="0.2">
      <c r="A54">
        <v>95</v>
      </c>
      <c r="B54" s="4" t="s">
        <v>4</v>
      </c>
      <c r="C54" s="4">
        <v>0</v>
      </c>
      <c r="D54" s="4">
        <f t="shared" si="1"/>
        <v>-1</v>
      </c>
      <c r="E54" s="1">
        <v>8.5650100000000007E-2</v>
      </c>
      <c r="F54" s="1">
        <v>0.4603256</v>
      </c>
      <c r="G54" s="1">
        <v>3.8619300000000002E-2</v>
      </c>
      <c r="H54" s="1">
        <v>1.82931</v>
      </c>
      <c r="I54" s="1">
        <v>0.19447719999999999</v>
      </c>
      <c r="J54">
        <f>SIGN(SUMPRODUCT(E54:I54,'datos de entrenamiento'!$F$7:$J$7)-'datos de entrenamiento'!$L$7)</f>
        <v>-1</v>
      </c>
    </row>
    <row r="55" spans="1:10" x14ac:dyDescent="0.2">
      <c r="A55">
        <v>197</v>
      </c>
      <c r="B55" s="4" t="s">
        <v>5</v>
      </c>
      <c r="C55" s="4">
        <v>0</v>
      </c>
      <c r="D55" s="4">
        <f t="shared" si="1"/>
        <v>-1</v>
      </c>
      <c r="E55" s="1">
        <v>8.6693300000000001E-2</v>
      </c>
      <c r="F55" s="1">
        <v>-4.6342000000000001E-2</v>
      </c>
      <c r="G55" s="1">
        <v>4.7951500000000001E-2</v>
      </c>
      <c r="H55" s="1">
        <v>1.13462</v>
      </c>
      <c r="I55" s="1">
        <v>0.1896871</v>
      </c>
      <c r="J55">
        <f>SIGN(SUMPRODUCT(E55:I55,'datos de entrenamiento'!$F$7:$J$7)-'datos de entrenamiento'!$L$7)</f>
        <v>-1</v>
      </c>
    </row>
    <row r="56" spans="1:10" x14ac:dyDescent="0.2">
      <c r="A56">
        <v>138</v>
      </c>
      <c r="B56" s="4" t="s">
        <v>4</v>
      </c>
      <c r="C56" s="4">
        <v>0</v>
      </c>
      <c r="D56" s="4">
        <f t="shared" si="1"/>
        <v>-1</v>
      </c>
      <c r="E56" s="1">
        <v>0.1810416</v>
      </c>
      <c r="F56" s="1">
        <v>0.36532340000000002</v>
      </c>
      <c r="G56" s="1">
        <v>4.8873300000000001E-2</v>
      </c>
      <c r="H56" s="1">
        <v>1.581415</v>
      </c>
      <c r="I56" s="1">
        <v>0.25884889999999999</v>
      </c>
      <c r="J56">
        <f>SIGN(SUMPRODUCT(E56:I56,'datos de entrenamiento'!$F$7:$J$7)-'datos de entrenamiento'!$L$7)</f>
        <v>-1</v>
      </c>
    </row>
    <row r="57" spans="1:10" x14ac:dyDescent="0.2">
      <c r="A57">
        <v>36</v>
      </c>
      <c r="B57" s="4" t="s">
        <v>5</v>
      </c>
      <c r="C57" s="4">
        <v>0</v>
      </c>
      <c r="D57" s="4">
        <f t="shared" si="1"/>
        <v>-1</v>
      </c>
      <c r="E57" s="1">
        <v>0.45100050000000003</v>
      </c>
      <c r="F57" s="1">
        <v>0.2251504</v>
      </c>
      <c r="G57" s="1">
        <v>2.6813199999999999E-2</v>
      </c>
      <c r="H57" s="1">
        <v>0.80409589999999997</v>
      </c>
      <c r="I57" s="1">
        <v>0.2455852</v>
      </c>
      <c r="J57">
        <f>SIGN(SUMPRODUCT(E57:I57,'datos de entrenamiento'!$F$7:$J$7)-'datos de entrenamiento'!$L$7)</f>
        <v>1</v>
      </c>
    </row>
    <row r="58" spans="1:10" x14ac:dyDescent="0.2">
      <c r="A58">
        <v>55</v>
      </c>
      <c r="B58" s="4" t="s">
        <v>4</v>
      </c>
      <c r="C58" s="4">
        <v>0</v>
      </c>
      <c r="D58" s="4">
        <f t="shared" si="1"/>
        <v>-1</v>
      </c>
      <c r="E58" s="1">
        <v>-7.9076000000000007E-3</v>
      </c>
      <c r="F58" s="1">
        <v>0.16433829999999999</v>
      </c>
      <c r="G58" s="1">
        <v>4.5520600000000001E-2</v>
      </c>
      <c r="H58" s="1">
        <v>0.62229690000000004</v>
      </c>
      <c r="I58" s="1">
        <v>0.10629379999999999</v>
      </c>
      <c r="J58">
        <f>SIGN(SUMPRODUCT(E58:I58,'datos de entrenamiento'!$F$7:$J$7)-'datos de entrenamiento'!$L$7)</f>
        <v>-1</v>
      </c>
    </row>
    <row r="59" spans="1:10" x14ac:dyDescent="0.2">
      <c r="A59">
        <v>137</v>
      </c>
      <c r="B59" s="4" t="s">
        <v>4</v>
      </c>
      <c r="C59" s="4">
        <v>0</v>
      </c>
      <c r="D59" s="4">
        <f t="shared" si="1"/>
        <v>-1</v>
      </c>
      <c r="E59" s="1">
        <v>0.15496799999999999</v>
      </c>
      <c r="F59" s="1">
        <v>0.3215787</v>
      </c>
      <c r="G59" s="1">
        <v>4.5709800000000002E-2</v>
      </c>
      <c r="H59" s="1">
        <v>1.092049</v>
      </c>
      <c r="I59" s="1">
        <v>0.24097080000000001</v>
      </c>
      <c r="J59">
        <f>SIGN(SUMPRODUCT(E59:I59,'datos de entrenamiento'!$F$7:$J$7)-'datos de entrenamiento'!$L$7)</f>
        <v>-1</v>
      </c>
    </row>
    <row r="60" spans="1:10" x14ac:dyDescent="0.2">
      <c r="A60">
        <v>129</v>
      </c>
      <c r="B60" s="4" t="s">
        <v>4</v>
      </c>
      <c r="C60" s="4">
        <v>0</v>
      </c>
      <c r="D60" s="4">
        <f t="shared" si="1"/>
        <v>-1</v>
      </c>
      <c r="E60" s="1">
        <v>-4.7036000000000001E-2</v>
      </c>
      <c r="F60" s="1">
        <v>0.14442740000000001</v>
      </c>
      <c r="G60" s="1">
        <v>6.2082600000000002E-2</v>
      </c>
      <c r="H60" s="1">
        <v>0.94148109999999996</v>
      </c>
      <c r="I60" s="1">
        <v>0.18403849999999999</v>
      </c>
      <c r="J60">
        <f>SIGN(SUMPRODUCT(E60:I60,'datos de entrenamiento'!$F$7:$J$7)-'datos de entrenamiento'!$L$7)</f>
        <v>-1</v>
      </c>
    </row>
    <row r="61" spans="1:10" x14ac:dyDescent="0.2">
      <c r="A61">
        <v>96</v>
      </c>
      <c r="B61" s="4" t="s">
        <v>4</v>
      </c>
      <c r="C61" s="4">
        <v>0</v>
      </c>
      <c r="D61" s="4">
        <f t="shared" si="1"/>
        <v>-1</v>
      </c>
      <c r="E61" s="1">
        <v>9.3437999999999993E-2</v>
      </c>
      <c r="F61" s="1">
        <v>0.46251769999999998</v>
      </c>
      <c r="G61" s="1">
        <v>5.15556E-2</v>
      </c>
      <c r="H61" s="1">
        <v>2.2356940000000001</v>
      </c>
      <c r="I61" s="1">
        <v>0.233375</v>
      </c>
      <c r="J61">
        <f>SIGN(SUMPRODUCT(E61:I61,'datos de entrenamiento'!$F$7:$J$7)-'datos de entrenamiento'!$L$7)</f>
        <v>-1</v>
      </c>
    </row>
    <row r="62" spans="1:10" x14ac:dyDescent="0.2">
      <c r="A62">
        <v>211</v>
      </c>
      <c r="B62" s="4" t="s">
        <v>7</v>
      </c>
      <c r="C62" s="4">
        <v>1</v>
      </c>
      <c r="D62" s="4">
        <f t="shared" si="1"/>
        <v>1</v>
      </c>
      <c r="E62" s="1">
        <v>-0.99423019999999995</v>
      </c>
      <c r="F62" s="1">
        <v>-0.43353180000000002</v>
      </c>
      <c r="G62" s="1">
        <v>-2.4369999999999999E-4</v>
      </c>
      <c r="H62" s="1">
        <v>3.5502199999999998E-2</v>
      </c>
      <c r="I62" s="1">
        <v>0.33046740000000002</v>
      </c>
      <c r="J62">
        <f>SIGN(SUMPRODUCT(E62:I62,'datos de entrenamiento'!$F$7:$J$7)-'datos de entrenamiento'!$L$7)</f>
        <v>-1</v>
      </c>
    </row>
    <row r="63" spans="1:10" x14ac:dyDescent="0.2">
      <c r="A63">
        <v>122</v>
      </c>
      <c r="B63" s="4" t="s">
        <v>4</v>
      </c>
      <c r="C63" s="4">
        <v>0</v>
      </c>
      <c r="D63" s="4">
        <f t="shared" si="1"/>
        <v>-1</v>
      </c>
      <c r="E63" s="1">
        <v>4.8959999999999997E-2</v>
      </c>
      <c r="F63" s="1">
        <v>0.101476</v>
      </c>
      <c r="G63" s="1">
        <v>5.6789199999999998E-2</v>
      </c>
      <c r="H63" s="1">
        <v>0.40002919999999997</v>
      </c>
      <c r="I63" s="1">
        <v>0.27312370000000002</v>
      </c>
      <c r="J63">
        <f>SIGN(SUMPRODUCT(E63:I63,'datos de entrenamiento'!$F$7:$J$7)-'datos de entrenamiento'!$L$7)</f>
        <v>-1</v>
      </c>
    </row>
    <row r="64" spans="1:10" x14ac:dyDescent="0.2">
      <c r="A64">
        <v>198</v>
      </c>
      <c r="B64" s="4" t="s">
        <v>8</v>
      </c>
      <c r="C64" s="4">
        <v>1</v>
      </c>
      <c r="D64" s="4">
        <f t="shared" si="1"/>
        <v>1</v>
      </c>
      <c r="E64" s="1">
        <v>0.1710874</v>
      </c>
      <c r="F64" s="1">
        <v>-0.26302160000000002</v>
      </c>
      <c r="G64" s="1">
        <v>2.55669E-2</v>
      </c>
      <c r="H64" s="1">
        <v>3.0750400000000001E-2</v>
      </c>
      <c r="I64" s="1">
        <v>0.18894</v>
      </c>
      <c r="J64">
        <f>SIGN(SUMPRODUCT(E64:I64,'datos de entrenamiento'!$F$7:$J$7)-'datos de entrenamiento'!$L$7)</f>
        <v>1</v>
      </c>
    </row>
    <row r="65" spans="1:10" x14ac:dyDescent="0.2">
      <c r="A65">
        <v>153</v>
      </c>
      <c r="B65" s="4" t="s">
        <v>4</v>
      </c>
      <c r="C65" s="4">
        <v>0</v>
      </c>
      <c r="D65" s="4">
        <f t="shared" si="1"/>
        <v>-1</v>
      </c>
      <c r="E65" s="1">
        <v>9.3647499999999995E-2</v>
      </c>
      <c r="F65" s="1">
        <v>0.22809660000000001</v>
      </c>
      <c r="G65" s="1">
        <v>3.9419000000000003E-2</v>
      </c>
      <c r="H65" s="1">
        <v>1.0046619999999999</v>
      </c>
      <c r="I65" s="1">
        <v>0.1979361</v>
      </c>
      <c r="J65">
        <f>SIGN(SUMPRODUCT(E65:I65,'datos de entrenamiento'!$F$7:$J$7)-'datos de entrenamiento'!$L$7)</f>
        <v>-1</v>
      </c>
    </row>
    <row r="66" spans="1:10" x14ac:dyDescent="0.2">
      <c r="A66">
        <v>158</v>
      </c>
      <c r="B66" s="4" t="s">
        <v>4</v>
      </c>
      <c r="C66" s="4">
        <v>0</v>
      </c>
      <c r="D66" s="4">
        <f t="shared" si="1"/>
        <v>-1</v>
      </c>
      <c r="E66" s="1">
        <v>5.76623E-2</v>
      </c>
      <c r="F66" s="1">
        <v>0.31443500000000002</v>
      </c>
      <c r="G66" s="1">
        <v>7.3833700000000002E-2</v>
      </c>
      <c r="H66" s="1">
        <v>1.131961</v>
      </c>
      <c r="I66" s="1">
        <v>0.31742550000000003</v>
      </c>
      <c r="J66">
        <f>SIGN(SUMPRODUCT(E66:I66,'datos de entrenamiento'!$F$7:$J$7)-'datos de entrenamiento'!$L$7)</f>
        <v>-1</v>
      </c>
    </row>
    <row r="67" spans="1:10" x14ac:dyDescent="0.2">
      <c r="A67">
        <v>44</v>
      </c>
      <c r="B67" s="4" t="s">
        <v>5</v>
      </c>
      <c r="C67" s="4">
        <v>0</v>
      </c>
      <c r="D67" s="4">
        <f t="shared" si="1"/>
        <v>-1</v>
      </c>
      <c r="E67" s="1">
        <v>-3.41435E-2</v>
      </c>
      <c r="F67" s="1">
        <v>-1.33432E-2</v>
      </c>
      <c r="G67" s="1">
        <v>2.3561700000000001E-2</v>
      </c>
      <c r="H67" s="1">
        <v>0.10368819999999999</v>
      </c>
      <c r="I67" s="1">
        <v>0.17739460000000001</v>
      </c>
      <c r="J67">
        <f>SIGN(SUMPRODUCT(E67:I67,'datos de entrenamiento'!$F$7:$J$7)-'datos de entrenamiento'!$L$7)</f>
        <v>-1</v>
      </c>
    </row>
    <row r="68" spans="1:10" x14ac:dyDescent="0.2">
      <c r="A68">
        <v>190</v>
      </c>
      <c r="B68" s="4" t="s">
        <v>6</v>
      </c>
      <c r="C68" s="4">
        <v>1</v>
      </c>
      <c r="D68" s="4">
        <f t="shared" si="1"/>
        <v>1</v>
      </c>
      <c r="E68" s="1">
        <v>0.1069628</v>
      </c>
      <c r="F68" s="1">
        <v>3.5254300000000002E-2</v>
      </c>
      <c r="G68" s="1">
        <v>1.14603E-2</v>
      </c>
      <c r="H68" s="1">
        <v>5.0194700000000002E-2</v>
      </c>
      <c r="I68" s="1">
        <v>0.2750668</v>
      </c>
      <c r="J68">
        <f>SIGN(SUMPRODUCT(E68:I68,'datos de entrenamiento'!$F$7:$J$7)-'datos de entrenamiento'!$L$7)</f>
        <v>-1</v>
      </c>
    </row>
    <row r="69" spans="1:10" x14ac:dyDescent="0.2">
      <c r="A69">
        <v>13</v>
      </c>
      <c r="B69" s="4" t="s">
        <v>8</v>
      </c>
      <c r="C69" s="4">
        <v>1</v>
      </c>
      <c r="D69" s="4">
        <f t="shared" ref="D69:D100" si="2">C69*2-1</f>
        <v>1</v>
      </c>
      <c r="E69" s="1">
        <v>0.12609960000000001</v>
      </c>
      <c r="F69" s="1">
        <v>-0.14100260000000001</v>
      </c>
      <c r="G69" s="1">
        <v>5.1884399999999997E-2</v>
      </c>
      <c r="H69" s="1">
        <v>8.8891100000000001E-2</v>
      </c>
      <c r="I69" s="1">
        <v>0.57536030000000005</v>
      </c>
      <c r="J69">
        <f>SIGN(SUMPRODUCT(E69:I69,'datos de entrenamiento'!$F$7:$J$7)-'datos de entrenamiento'!$L$7)</f>
        <v>1</v>
      </c>
    </row>
    <row r="70" spans="1:10" x14ac:dyDescent="0.2">
      <c r="A70">
        <v>3</v>
      </c>
      <c r="B70" s="4" t="s">
        <v>7</v>
      </c>
      <c r="C70" s="4">
        <v>1</v>
      </c>
      <c r="D70" s="4">
        <f t="shared" si="2"/>
        <v>1</v>
      </c>
      <c r="E70" s="1">
        <v>6.5496899999999997E-2</v>
      </c>
      <c r="F70" s="1">
        <v>-0.1320064</v>
      </c>
      <c r="G70" s="1">
        <v>4.3704E-3</v>
      </c>
      <c r="H70" s="1">
        <v>8.4955199999999995E-2</v>
      </c>
      <c r="I70" s="1">
        <v>0.1891719</v>
      </c>
      <c r="J70">
        <f>SIGN(SUMPRODUCT(E70:I70,'datos de entrenamiento'!$F$7:$J$7)-'datos de entrenamiento'!$L$7)</f>
        <v>1</v>
      </c>
    </row>
    <row r="71" spans="1:10" x14ac:dyDescent="0.2">
      <c r="A71">
        <v>103</v>
      </c>
      <c r="B71" s="4" t="s">
        <v>5</v>
      </c>
      <c r="C71" s="4">
        <v>0</v>
      </c>
      <c r="D71" s="4">
        <f t="shared" si="2"/>
        <v>-1</v>
      </c>
      <c r="E71" s="1">
        <v>0.1132281</v>
      </c>
      <c r="F71" s="1">
        <v>9.2595700000000003E-2</v>
      </c>
      <c r="G71" s="1">
        <v>2.49997E-2</v>
      </c>
      <c r="H71" s="1">
        <v>0.36672589999999999</v>
      </c>
      <c r="I71" s="1">
        <v>0.23938100000000001</v>
      </c>
      <c r="J71">
        <f>SIGN(SUMPRODUCT(E71:I71,'datos de entrenamiento'!$F$7:$J$7)-'datos de entrenamiento'!$L$7)</f>
        <v>-1</v>
      </c>
    </row>
    <row r="72" spans="1:10" x14ac:dyDescent="0.2">
      <c r="A72">
        <v>86</v>
      </c>
      <c r="B72" s="4" t="s">
        <v>8</v>
      </c>
      <c r="C72" s="4">
        <v>1</v>
      </c>
      <c r="D72" s="4">
        <f t="shared" si="2"/>
        <v>1</v>
      </c>
      <c r="E72" s="1">
        <v>0.39794200000000002</v>
      </c>
      <c r="F72" s="1">
        <v>-4.4470500000000003E-2</v>
      </c>
      <c r="G72" s="1">
        <v>6.5156599999999995E-2</v>
      </c>
      <c r="H72" s="1">
        <v>5.6160799999999997E-2</v>
      </c>
      <c r="I72" s="1">
        <v>0.76280650000000005</v>
      </c>
      <c r="J72">
        <f>SIGN(SUMPRODUCT(E72:I72,'datos de entrenamiento'!$F$7:$J$7)-'datos de entrenamiento'!$L$7)</f>
        <v>1</v>
      </c>
    </row>
    <row r="73" spans="1:10" x14ac:dyDescent="0.2">
      <c r="A73">
        <v>114</v>
      </c>
      <c r="B73" s="4" t="s">
        <v>5</v>
      </c>
      <c r="C73" s="4">
        <v>0</v>
      </c>
      <c r="D73" s="4">
        <f t="shared" si="2"/>
        <v>-1</v>
      </c>
      <c r="E73" s="1">
        <v>7.3771900000000001E-2</v>
      </c>
      <c r="F73" s="1">
        <v>0.35523470000000001</v>
      </c>
      <c r="G73" s="1">
        <v>5.8707099999999998E-2</v>
      </c>
      <c r="H73" s="1">
        <v>0.89436789999999999</v>
      </c>
      <c r="I73" s="1">
        <v>0.59177429999999998</v>
      </c>
      <c r="J73">
        <f>SIGN(SUMPRODUCT(E73:I73,'datos de entrenamiento'!$F$7:$J$7)-'datos de entrenamiento'!$L$7)</f>
        <v>-1</v>
      </c>
    </row>
    <row r="74" spans="1:10" x14ac:dyDescent="0.2">
      <c r="A74">
        <v>221</v>
      </c>
      <c r="B74" s="4" t="s">
        <v>5</v>
      </c>
      <c r="C74" s="4">
        <v>1</v>
      </c>
      <c r="D74" s="4">
        <f t="shared" si="2"/>
        <v>1</v>
      </c>
      <c r="E74" s="1">
        <v>5.9215700000000003E-2</v>
      </c>
      <c r="F74" s="1">
        <v>0.18245320000000001</v>
      </c>
      <c r="G74" s="1">
        <v>9.6472999999999993E-3</v>
      </c>
      <c r="H74" s="1">
        <v>0.3053361</v>
      </c>
      <c r="I74" s="1">
        <v>0.30453980000000003</v>
      </c>
      <c r="J74">
        <f>SIGN(SUMPRODUCT(E74:I74,'datos de entrenamiento'!$F$7:$J$7)-'datos de entrenamiento'!$L$7)</f>
        <v>-1</v>
      </c>
    </row>
    <row r="75" spans="1:10" x14ac:dyDescent="0.2">
      <c r="A75">
        <v>97</v>
      </c>
      <c r="B75" s="4" t="s">
        <v>4</v>
      </c>
      <c r="C75" s="4">
        <v>0</v>
      </c>
      <c r="D75" s="4">
        <f t="shared" si="2"/>
        <v>-1</v>
      </c>
      <c r="E75" s="1">
        <v>0.15534010000000001</v>
      </c>
      <c r="F75" s="1">
        <v>0.3207796</v>
      </c>
      <c r="G75" s="1">
        <v>6.3444E-2</v>
      </c>
      <c r="H75" s="1">
        <v>0.73070619999999997</v>
      </c>
      <c r="I75" s="1">
        <v>0.51307950000000002</v>
      </c>
      <c r="J75">
        <f>SIGN(SUMPRODUCT(E75:I75,'datos de entrenamiento'!$F$7:$J$7)-'datos de entrenamiento'!$L$7)</f>
        <v>-1</v>
      </c>
    </row>
    <row r="76" spans="1:10" x14ac:dyDescent="0.2">
      <c r="A76">
        <v>87</v>
      </c>
      <c r="B76" s="4" t="s">
        <v>7</v>
      </c>
      <c r="C76" s="4">
        <v>1</v>
      </c>
      <c r="D76" s="4">
        <f t="shared" si="2"/>
        <v>1</v>
      </c>
      <c r="E76" s="1">
        <v>-7.8245099999999998E-2</v>
      </c>
      <c r="F76" s="1">
        <v>-0.1172523</v>
      </c>
      <c r="G76" s="1">
        <v>3.62472E-2</v>
      </c>
      <c r="H76" s="1">
        <v>0.22578960000000001</v>
      </c>
      <c r="I76" s="1">
        <v>0.31974970000000003</v>
      </c>
      <c r="J76">
        <f>SIGN(SUMPRODUCT(E76:I76,'datos de entrenamiento'!$F$7:$J$7)-'datos de entrenamiento'!$L$7)</f>
        <v>-1</v>
      </c>
    </row>
    <row r="77" spans="1:10" x14ac:dyDescent="0.2">
      <c r="A77">
        <v>50</v>
      </c>
      <c r="B77" s="4" t="s">
        <v>4</v>
      </c>
      <c r="C77" s="4">
        <v>0</v>
      </c>
      <c r="D77" s="4">
        <f t="shared" si="2"/>
        <v>-1</v>
      </c>
      <c r="E77" s="1">
        <v>3.9468799999999998E-2</v>
      </c>
      <c r="F77" s="1">
        <v>0.14383109999999999</v>
      </c>
      <c r="G77" s="1">
        <v>2.4667000000000001E-2</v>
      </c>
      <c r="H77" s="1">
        <v>0.6260791</v>
      </c>
      <c r="I77" s="1">
        <v>0.1224316</v>
      </c>
      <c r="J77">
        <f>SIGN(SUMPRODUCT(E77:I77,'datos de entrenamiento'!$F$7:$J$7)-'datos de entrenamiento'!$L$7)</f>
        <v>-1</v>
      </c>
    </row>
    <row r="78" spans="1:10" x14ac:dyDescent="0.2">
      <c r="A78">
        <v>33</v>
      </c>
      <c r="B78" s="4" t="s">
        <v>8</v>
      </c>
      <c r="C78" s="4">
        <v>1</v>
      </c>
      <c r="D78" s="4">
        <f t="shared" si="2"/>
        <v>1</v>
      </c>
      <c r="E78" s="1">
        <v>2.0341100000000001E-2</v>
      </c>
      <c r="F78" s="1">
        <v>-0.98977139999999997</v>
      </c>
      <c r="G78" s="1">
        <v>4.7659100000000003E-2</v>
      </c>
      <c r="H78" s="1">
        <v>3.1556599999999997E-2</v>
      </c>
      <c r="I78" s="1">
        <v>0.20943929999999999</v>
      </c>
      <c r="J78">
        <f>SIGN(SUMPRODUCT(E78:I78,'datos de entrenamiento'!$F$7:$J$7)-'datos de entrenamiento'!$L$7)</f>
        <v>1</v>
      </c>
    </row>
    <row r="79" spans="1:10" x14ac:dyDescent="0.2">
      <c r="A79">
        <v>156</v>
      </c>
      <c r="B79" s="4" t="s">
        <v>5</v>
      </c>
      <c r="C79" s="4">
        <v>0</v>
      </c>
      <c r="D79" s="4">
        <f t="shared" si="2"/>
        <v>-1</v>
      </c>
      <c r="E79" s="1">
        <v>0.18999640000000001</v>
      </c>
      <c r="F79" s="1">
        <v>1.72135E-2</v>
      </c>
      <c r="G79" s="1">
        <v>3.6524099999999997E-2</v>
      </c>
      <c r="H79" s="1">
        <v>3.0975540000000001</v>
      </c>
      <c r="I79" s="1">
        <v>0.1225296</v>
      </c>
      <c r="J79">
        <f>SIGN(SUMPRODUCT(E79:I79,'datos de entrenamiento'!$F$7:$J$7)-'datos de entrenamiento'!$L$7)</f>
        <v>-1</v>
      </c>
    </row>
    <row r="80" spans="1:10" x14ac:dyDescent="0.2">
      <c r="A80">
        <v>130</v>
      </c>
      <c r="B80" s="4" t="s">
        <v>4</v>
      </c>
      <c r="C80" s="4">
        <v>0</v>
      </c>
      <c r="D80" s="4">
        <f t="shared" si="2"/>
        <v>-1</v>
      </c>
      <c r="E80" s="1">
        <v>-0.12290769999999999</v>
      </c>
      <c r="F80" s="1">
        <v>0.118628</v>
      </c>
      <c r="G80" s="1">
        <v>4.05248E-2</v>
      </c>
      <c r="H80" s="1">
        <v>0.58002969999999998</v>
      </c>
      <c r="I80" s="1">
        <v>0.20367979999999999</v>
      </c>
      <c r="J80">
        <f>SIGN(SUMPRODUCT(E80:I80,'datos de entrenamiento'!$F$7:$J$7)-'datos de entrenamiento'!$L$7)</f>
        <v>-1</v>
      </c>
    </row>
    <row r="81" spans="1:10" x14ac:dyDescent="0.2">
      <c r="A81">
        <v>46</v>
      </c>
      <c r="B81" s="4" t="s">
        <v>4</v>
      </c>
      <c r="C81" s="4">
        <v>0</v>
      </c>
      <c r="D81" s="4">
        <f t="shared" si="2"/>
        <v>-1</v>
      </c>
      <c r="E81" s="1">
        <v>2.37284E-2</v>
      </c>
      <c r="F81" s="1">
        <v>4.6904599999999998E-2</v>
      </c>
      <c r="G81" s="1">
        <v>4.72968E-2</v>
      </c>
      <c r="H81" s="1">
        <v>0.55471930000000003</v>
      </c>
      <c r="I81" s="1">
        <v>7.2571899999999995E-2</v>
      </c>
      <c r="J81">
        <f>SIGN(SUMPRODUCT(E81:I81,'datos de entrenamiento'!$F$7:$J$7)-'datos de entrenamiento'!$L$7)</f>
        <v>-1</v>
      </c>
    </row>
    <row r="82" spans="1:10" x14ac:dyDescent="0.2">
      <c r="A82">
        <v>215</v>
      </c>
      <c r="B82" s="4" t="s">
        <v>4</v>
      </c>
      <c r="C82" s="4">
        <v>0</v>
      </c>
      <c r="D82" s="4">
        <f t="shared" si="2"/>
        <v>-1</v>
      </c>
      <c r="E82" s="1">
        <v>0.38702789999999998</v>
      </c>
      <c r="F82" s="1">
        <v>8.9696300000000007E-2</v>
      </c>
      <c r="G82" s="1">
        <v>4.5290200000000003E-2</v>
      </c>
      <c r="H82" s="1">
        <v>3.0248210000000002</v>
      </c>
      <c r="I82" s="1">
        <v>7.5812299999999999E-2</v>
      </c>
      <c r="J82">
        <f>SIGN(SUMPRODUCT(E82:I82,'datos de entrenamiento'!$F$7:$J$7)-'datos de entrenamiento'!$L$7)</f>
        <v>-1</v>
      </c>
    </row>
    <row r="83" spans="1:10" x14ac:dyDescent="0.2">
      <c r="A83">
        <v>85</v>
      </c>
      <c r="B83" s="4" t="s">
        <v>8</v>
      </c>
      <c r="C83" s="4">
        <v>1</v>
      </c>
      <c r="D83" s="4">
        <f t="shared" si="2"/>
        <v>1</v>
      </c>
      <c r="E83" s="1">
        <v>-0.13360340000000001</v>
      </c>
      <c r="F83" s="1">
        <v>-0.30906080000000002</v>
      </c>
      <c r="G83" s="1">
        <v>3.85736E-2</v>
      </c>
      <c r="H83" s="1">
        <v>0.1660616</v>
      </c>
      <c r="I83" s="1">
        <v>0.52703420000000001</v>
      </c>
      <c r="J83">
        <f>SIGN(SUMPRODUCT(E83:I83,'datos de entrenamiento'!$F$7:$J$7)-'datos de entrenamiento'!$L$7)</f>
        <v>1</v>
      </c>
    </row>
    <row r="84" spans="1:10" x14ac:dyDescent="0.2">
      <c r="A84">
        <v>182</v>
      </c>
      <c r="B84" s="4" t="s">
        <v>7</v>
      </c>
      <c r="C84" s="4">
        <v>0</v>
      </c>
      <c r="D84" s="4">
        <f t="shared" si="2"/>
        <v>-1</v>
      </c>
      <c r="E84" s="1">
        <v>5.06413E-2</v>
      </c>
      <c r="F84" s="1">
        <v>-8.6698899999999995E-2</v>
      </c>
      <c r="G84" s="1">
        <v>4.5355199999999998E-2</v>
      </c>
      <c r="H84" s="1">
        <v>0.25335439999999998</v>
      </c>
      <c r="I84" s="1">
        <v>0.34205629999999998</v>
      </c>
      <c r="J84">
        <f>SIGN(SUMPRODUCT(E84:I84,'datos de entrenamiento'!$F$7:$J$7)-'datos de entrenamiento'!$L$7)</f>
        <v>1</v>
      </c>
    </row>
    <row r="85" spans="1:10" x14ac:dyDescent="0.2">
      <c r="A85">
        <v>51</v>
      </c>
      <c r="B85" s="4" t="s">
        <v>4</v>
      </c>
      <c r="C85" s="4">
        <v>0</v>
      </c>
      <c r="D85" s="4">
        <f t="shared" si="2"/>
        <v>-1</v>
      </c>
      <c r="E85" s="1">
        <v>-4.5802000000000002E-2</v>
      </c>
      <c r="F85" s="1">
        <v>0.14746719999999999</v>
      </c>
      <c r="G85" s="1">
        <v>4.2033500000000001E-2</v>
      </c>
      <c r="H85" s="1">
        <v>0.89065989999999995</v>
      </c>
      <c r="I85" s="1">
        <v>0.14724019999999999</v>
      </c>
      <c r="J85">
        <f>SIGN(SUMPRODUCT(E85:I85,'datos de entrenamiento'!$F$7:$J$7)-'datos de entrenamiento'!$L$7)</f>
        <v>-1</v>
      </c>
    </row>
    <row r="86" spans="1:10" x14ac:dyDescent="0.2">
      <c r="A86">
        <v>172</v>
      </c>
      <c r="B86" s="4" t="s">
        <v>4</v>
      </c>
      <c r="C86" s="4">
        <v>0</v>
      </c>
      <c r="D86" s="4">
        <f t="shared" si="2"/>
        <v>-1</v>
      </c>
      <c r="E86" s="1">
        <v>-8.2439499999999999E-2</v>
      </c>
      <c r="F86" s="1">
        <v>5.2244400000000003E-2</v>
      </c>
      <c r="G86" s="1">
        <v>3.4134699999999997E-2</v>
      </c>
      <c r="H86" s="1">
        <v>0.36233880000000002</v>
      </c>
      <c r="I86" s="1">
        <v>0.1128975</v>
      </c>
      <c r="J86">
        <f>SIGN(SUMPRODUCT(E86:I86,'datos de entrenamiento'!$F$7:$J$7)-'datos de entrenamiento'!$L$7)</f>
        <v>-1</v>
      </c>
    </row>
    <row r="87" spans="1:10" x14ac:dyDescent="0.2">
      <c r="A87">
        <v>81</v>
      </c>
      <c r="B87" s="4" t="s">
        <v>4</v>
      </c>
      <c r="C87" s="4">
        <v>0</v>
      </c>
      <c r="D87" s="4">
        <f t="shared" si="2"/>
        <v>-1</v>
      </c>
      <c r="E87" s="1">
        <v>0.31087480000000001</v>
      </c>
      <c r="F87" s="1">
        <v>9.1051900000000005E-2</v>
      </c>
      <c r="G87" s="1">
        <v>4.2808300000000001E-2</v>
      </c>
      <c r="H87" s="1">
        <v>0.21950410000000001</v>
      </c>
      <c r="I87" s="1">
        <v>0.1543339</v>
      </c>
      <c r="J87">
        <f>SIGN(SUMPRODUCT(E87:I87,'datos de entrenamiento'!$F$7:$J$7)-'datos de entrenamiento'!$L$7)</f>
        <v>1</v>
      </c>
    </row>
    <row r="88" spans="1:10" x14ac:dyDescent="0.2">
      <c r="A88">
        <v>171</v>
      </c>
      <c r="B88" s="4" t="s">
        <v>4</v>
      </c>
      <c r="C88" s="4">
        <v>0</v>
      </c>
      <c r="D88" s="4">
        <f t="shared" si="2"/>
        <v>-1</v>
      </c>
      <c r="E88" s="1">
        <v>-9.0627200000000005E-2</v>
      </c>
      <c r="F88" s="1">
        <v>9.4666200000000006E-2</v>
      </c>
      <c r="G88" s="1">
        <v>3.0965900000000001E-2</v>
      </c>
      <c r="H88" s="1">
        <v>0.3888742</v>
      </c>
      <c r="I88" s="1">
        <v>7.75058E-2</v>
      </c>
      <c r="J88">
        <f>SIGN(SUMPRODUCT(E88:I88,'datos de entrenamiento'!$F$7:$J$7)-'datos de entrenamiento'!$L$7)</f>
        <v>-1</v>
      </c>
    </row>
    <row r="89" spans="1:10" x14ac:dyDescent="0.2">
      <c r="A89">
        <v>194</v>
      </c>
      <c r="B89" s="4" t="s">
        <v>4</v>
      </c>
      <c r="C89" s="4">
        <v>0</v>
      </c>
      <c r="D89" s="4">
        <f t="shared" si="2"/>
        <v>-1</v>
      </c>
      <c r="E89" s="1">
        <v>3.07389E-2</v>
      </c>
      <c r="F89" s="1">
        <v>0.17539379999999999</v>
      </c>
      <c r="G89" s="1">
        <v>4.8001500000000002E-2</v>
      </c>
      <c r="H89" s="1">
        <v>1.1125259999999999</v>
      </c>
      <c r="I89" s="1">
        <v>0.1241582</v>
      </c>
      <c r="J89">
        <f>SIGN(SUMPRODUCT(E89:I89,'datos de entrenamiento'!$F$7:$J$7)-'datos de entrenamiento'!$L$7)</f>
        <v>-1</v>
      </c>
    </row>
    <row r="90" spans="1:10" x14ac:dyDescent="0.2">
      <c r="A90">
        <v>49</v>
      </c>
      <c r="B90" s="4" t="s">
        <v>4</v>
      </c>
      <c r="C90" s="4">
        <v>0</v>
      </c>
      <c r="D90" s="4">
        <f t="shared" si="2"/>
        <v>-1</v>
      </c>
      <c r="E90" s="1">
        <v>9.5810000000000003E-4</v>
      </c>
      <c r="F90" s="1">
        <v>0.1224919</v>
      </c>
      <c r="G90" s="1">
        <v>3.6776299999999998E-2</v>
      </c>
      <c r="H90" s="1">
        <v>0.81861150000000005</v>
      </c>
      <c r="I90" s="1">
        <v>9.2793899999999999E-2</v>
      </c>
      <c r="J90">
        <f>SIGN(SUMPRODUCT(E90:I90,'datos de entrenamiento'!$F$7:$J$7)-'datos de entrenamiento'!$L$7)</f>
        <v>-1</v>
      </c>
    </row>
    <row r="91" spans="1:10" x14ac:dyDescent="0.2">
      <c r="A91">
        <v>63</v>
      </c>
      <c r="B91" s="4" t="s">
        <v>4</v>
      </c>
      <c r="C91" s="4">
        <v>0</v>
      </c>
      <c r="D91" s="4">
        <f t="shared" si="2"/>
        <v>-1</v>
      </c>
      <c r="E91" s="1">
        <v>2.9503499999999998E-2</v>
      </c>
      <c r="F91" s="1">
        <v>4.1026199999999999E-2</v>
      </c>
      <c r="G91" s="1">
        <v>3.1301900000000001E-2</v>
      </c>
      <c r="H91" s="1">
        <v>0.80747400000000003</v>
      </c>
      <c r="I91" s="1">
        <v>0.13550599999999999</v>
      </c>
      <c r="J91">
        <f>SIGN(SUMPRODUCT(E91:I91,'datos de entrenamiento'!$F$7:$J$7)-'datos de entrenamiento'!$L$7)</f>
        <v>-1</v>
      </c>
    </row>
    <row r="92" spans="1:10" x14ac:dyDescent="0.2">
      <c r="A92">
        <v>52</v>
      </c>
      <c r="B92" s="4" t="s">
        <v>4</v>
      </c>
      <c r="C92" s="4">
        <v>0</v>
      </c>
      <c r="D92" s="4">
        <f t="shared" si="2"/>
        <v>-1</v>
      </c>
      <c r="E92" s="1">
        <v>-1.2081400000000001E-2</v>
      </c>
      <c r="F92" s="1">
        <v>0.14284669999999999</v>
      </c>
      <c r="G92" s="1">
        <v>3.6204699999999999E-2</v>
      </c>
      <c r="H92" s="1">
        <v>0.68315539999999997</v>
      </c>
      <c r="I92" s="1">
        <v>0.1103368</v>
      </c>
      <c r="J92">
        <f>SIGN(SUMPRODUCT(E92:I92,'datos de entrenamiento'!$F$7:$J$7)-'datos de entrenamiento'!$L$7)</f>
        <v>-1</v>
      </c>
    </row>
    <row r="93" spans="1:10" x14ac:dyDescent="0.2">
      <c r="A93">
        <v>189</v>
      </c>
      <c r="B93" s="4" t="s">
        <v>7</v>
      </c>
      <c r="C93" s="4">
        <v>1</v>
      </c>
      <c r="D93" s="4">
        <f t="shared" si="2"/>
        <v>1</v>
      </c>
      <c r="E93" s="1">
        <v>-9.6430000000000005E-3</v>
      </c>
      <c r="F93" s="1">
        <v>-0.1249161</v>
      </c>
      <c r="G93" s="1">
        <v>1.7905799999999999E-2</v>
      </c>
      <c r="H93" s="1">
        <v>8.8655899999999996E-2</v>
      </c>
      <c r="I93" s="1">
        <v>0.23970649999999999</v>
      </c>
      <c r="J93">
        <f>SIGN(SUMPRODUCT(E93:I93,'datos de entrenamiento'!$F$7:$J$7)-'datos de entrenamiento'!$L$7)</f>
        <v>-1</v>
      </c>
    </row>
    <row r="94" spans="1:10" x14ac:dyDescent="0.2">
      <c r="A94">
        <v>121</v>
      </c>
      <c r="B94" s="4" t="s">
        <v>4</v>
      </c>
      <c r="C94" s="4">
        <v>0</v>
      </c>
      <c r="D94" s="4">
        <f t="shared" si="2"/>
        <v>-1</v>
      </c>
      <c r="E94" s="1">
        <v>2.6790399999999999E-2</v>
      </c>
      <c r="F94" s="1">
        <v>0.14789079999999999</v>
      </c>
      <c r="G94" s="1">
        <v>4.1846599999999998E-2</v>
      </c>
      <c r="H94" s="1">
        <v>0.83006919999999995</v>
      </c>
      <c r="I94" s="1">
        <v>0.2355286</v>
      </c>
      <c r="J94">
        <f>SIGN(SUMPRODUCT(E94:I94,'datos de entrenamiento'!$F$7:$J$7)-'datos de entrenamiento'!$L$7)</f>
        <v>-1</v>
      </c>
    </row>
    <row r="95" spans="1:10" x14ac:dyDescent="0.2">
      <c r="A95">
        <v>60</v>
      </c>
      <c r="B95" s="4" t="s">
        <v>4</v>
      </c>
      <c r="C95" s="4">
        <v>0</v>
      </c>
      <c r="D95" s="4">
        <f t="shared" si="2"/>
        <v>-1</v>
      </c>
      <c r="E95" s="1">
        <v>0.13820850000000001</v>
      </c>
      <c r="F95" s="1">
        <v>0.41132210000000002</v>
      </c>
      <c r="G95" s="1">
        <v>7.6402200000000003E-2</v>
      </c>
      <c r="H95" s="1">
        <v>5.3768060000000002</v>
      </c>
      <c r="I95" s="1">
        <v>0.22068779999999999</v>
      </c>
      <c r="J95">
        <f>SIGN(SUMPRODUCT(E95:I95,'datos de entrenamiento'!$F$7:$J$7)-'datos de entrenamiento'!$L$7)</f>
        <v>-1</v>
      </c>
    </row>
    <row r="96" spans="1:10" x14ac:dyDescent="0.2">
      <c r="A96">
        <v>30</v>
      </c>
      <c r="B96" s="4" t="s">
        <v>7</v>
      </c>
      <c r="C96" s="4">
        <v>1</v>
      </c>
      <c r="D96" s="4">
        <f t="shared" si="2"/>
        <v>1</v>
      </c>
      <c r="E96" s="1">
        <v>3.06512E-2</v>
      </c>
      <c r="F96" s="1">
        <v>-0.3071643</v>
      </c>
      <c r="G96" s="1">
        <v>4.9164899999999997E-2</v>
      </c>
      <c r="H96" s="1">
        <v>0.3450511</v>
      </c>
      <c r="I96" s="1">
        <v>0.165355</v>
      </c>
      <c r="J96">
        <f>SIGN(SUMPRODUCT(E96:I96,'datos de entrenamiento'!$F$7:$J$7)-'datos de entrenamiento'!$L$7)</f>
        <v>1</v>
      </c>
    </row>
    <row r="97" spans="1:10" x14ac:dyDescent="0.2">
      <c r="A97">
        <v>73</v>
      </c>
      <c r="B97" s="4" t="s">
        <v>4</v>
      </c>
      <c r="C97" s="4">
        <v>0</v>
      </c>
      <c r="D97" s="4">
        <f t="shared" si="2"/>
        <v>-1</v>
      </c>
      <c r="E97" s="1">
        <v>0.21298790000000001</v>
      </c>
      <c r="F97" s="1">
        <v>0.31702010000000003</v>
      </c>
      <c r="G97" s="1">
        <v>2.3677199999999999E-2</v>
      </c>
      <c r="H97" s="1">
        <v>2.6131120000000001</v>
      </c>
      <c r="I97" s="1">
        <v>0.19518360000000001</v>
      </c>
      <c r="J97">
        <f>SIGN(SUMPRODUCT(E97:I97,'datos de entrenamiento'!$F$7:$J$7)-'datos de entrenamiento'!$L$7)</f>
        <v>-1</v>
      </c>
    </row>
    <row r="98" spans="1:10" x14ac:dyDescent="0.2">
      <c r="A98">
        <v>12</v>
      </c>
      <c r="B98" s="4" t="s">
        <v>7</v>
      </c>
      <c r="C98" s="4">
        <v>1</v>
      </c>
      <c r="D98" s="4">
        <f t="shared" si="2"/>
        <v>1</v>
      </c>
      <c r="E98" s="1">
        <v>-9.83266E-2</v>
      </c>
      <c r="F98" s="1">
        <v>-0.2161151</v>
      </c>
      <c r="G98" s="1">
        <v>5.0780699999999998E-2</v>
      </c>
      <c r="H98" s="1">
        <v>0.16641529999999999</v>
      </c>
      <c r="I98" s="1">
        <v>0.22759670000000001</v>
      </c>
      <c r="J98">
        <f>SIGN(SUMPRODUCT(E98:I98,'datos de entrenamiento'!$F$7:$J$7)-'datos de entrenamiento'!$L$7)</f>
        <v>-1</v>
      </c>
    </row>
    <row r="99" spans="1:10" x14ac:dyDescent="0.2">
      <c r="A99">
        <v>149</v>
      </c>
      <c r="B99" s="4" t="s">
        <v>4</v>
      </c>
      <c r="C99" s="4">
        <v>0</v>
      </c>
      <c r="D99" s="4">
        <f t="shared" si="2"/>
        <v>-1</v>
      </c>
      <c r="E99" s="1">
        <v>4.3872800000000003E-2</v>
      </c>
      <c r="F99" s="1">
        <v>0.43121579999999998</v>
      </c>
      <c r="G99" s="1">
        <v>5.85981E-2</v>
      </c>
      <c r="H99" s="1">
        <v>1.907273</v>
      </c>
      <c r="I99" s="1">
        <v>0.1557239</v>
      </c>
      <c r="J99">
        <f>SIGN(SUMPRODUCT(E99:I99,'datos de entrenamiento'!$F$7:$J$7)-'datos de entrenamiento'!$L$7)</f>
        <v>-1</v>
      </c>
    </row>
    <row r="100" spans="1:10" x14ac:dyDescent="0.2">
      <c r="A100">
        <v>40</v>
      </c>
      <c r="B100" s="4" t="s">
        <v>4</v>
      </c>
      <c r="C100" s="4">
        <v>0</v>
      </c>
      <c r="D100" s="4">
        <f t="shared" si="2"/>
        <v>-1</v>
      </c>
      <c r="E100" s="1">
        <v>-3.6352700000000002E-2</v>
      </c>
      <c r="F100" s="1">
        <v>0.26696360000000002</v>
      </c>
      <c r="G100" s="1">
        <v>4.7610699999999999E-2</v>
      </c>
      <c r="H100" s="1">
        <v>0.58529940000000003</v>
      </c>
      <c r="I100" s="1">
        <v>0.21168239999999999</v>
      </c>
      <c r="J100">
        <f>SIGN(SUMPRODUCT(E100:I100,'datos de entrenamiento'!$F$7:$J$7)-'datos de entrenamiento'!$L$7)</f>
        <v>-1</v>
      </c>
    </row>
    <row r="101" spans="1:10" x14ac:dyDescent="0.2">
      <c r="A101">
        <v>26</v>
      </c>
      <c r="B101" s="4" t="s">
        <v>8</v>
      </c>
      <c r="C101" s="4">
        <v>1</v>
      </c>
      <c r="D101" s="4">
        <f t="shared" ref="D101:D126" si="3">C101*2-1</f>
        <v>1</v>
      </c>
      <c r="E101" s="1">
        <v>4.3944499999999997E-2</v>
      </c>
      <c r="F101" s="1">
        <v>-1.508527</v>
      </c>
      <c r="G101" s="1">
        <v>3.7106699999999999E-2</v>
      </c>
      <c r="H101" s="1">
        <v>3.7465100000000001E-2</v>
      </c>
      <c r="I101" s="1">
        <v>4.7139300000000002E-2</v>
      </c>
      <c r="J101">
        <f>SIGN(SUMPRODUCT(E101:I101,'datos de entrenamiento'!$F$7:$J$7)-'datos de entrenamiento'!$L$7)</f>
        <v>1</v>
      </c>
    </row>
    <row r="102" spans="1:10" x14ac:dyDescent="0.2">
      <c r="A102">
        <v>64</v>
      </c>
      <c r="B102" s="4" t="s">
        <v>4</v>
      </c>
      <c r="C102" s="4">
        <v>0</v>
      </c>
      <c r="D102" s="4">
        <f t="shared" si="3"/>
        <v>-1</v>
      </c>
      <c r="E102" s="1">
        <v>2.5676899999999999E-2</v>
      </c>
      <c r="F102" s="1">
        <v>-8.6209000000000008E-3</v>
      </c>
      <c r="G102" s="1">
        <v>6.2634499999999996E-2</v>
      </c>
      <c r="H102" s="1">
        <v>0.76515540000000004</v>
      </c>
      <c r="I102" s="1">
        <v>0.18306990000000001</v>
      </c>
      <c r="J102">
        <f>SIGN(SUMPRODUCT(E102:I102,'datos de entrenamiento'!$F$7:$J$7)-'datos de entrenamiento'!$L$7)</f>
        <v>-1</v>
      </c>
    </row>
    <row r="103" spans="1:10" x14ac:dyDescent="0.2">
      <c r="A103">
        <v>7</v>
      </c>
      <c r="B103" s="4" t="s">
        <v>5</v>
      </c>
      <c r="C103" s="4">
        <v>1</v>
      </c>
      <c r="D103" s="4">
        <f t="shared" si="3"/>
        <v>1</v>
      </c>
      <c r="E103" s="1">
        <v>0.2057861</v>
      </c>
      <c r="F103" s="1">
        <v>9.2916899999999997E-2</v>
      </c>
      <c r="G103" s="1">
        <v>2.8566000000000001E-2</v>
      </c>
      <c r="H103" s="1">
        <v>0.38764680000000001</v>
      </c>
      <c r="I103" s="1">
        <v>0.2115571</v>
      </c>
      <c r="J103">
        <f>SIGN(SUMPRODUCT(E103:I103,'datos de entrenamiento'!$F$7:$J$7)-'datos de entrenamiento'!$L$7)</f>
        <v>-1</v>
      </c>
    </row>
    <row r="104" spans="1:10" x14ac:dyDescent="0.2">
      <c r="A104">
        <v>75</v>
      </c>
      <c r="B104" s="4" t="s">
        <v>5</v>
      </c>
      <c r="C104" s="4">
        <v>0</v>
      </c>
      <c r="D104" s="4">
        <f t="shared" si="3"/>
        <v>-1</v>
      </c>
      <c r="E104" s="1">
        <v>0.23069190000000001</v>
      </c>
      <c r="F104" s="1">
        <v>0.10470930000000001</v>
      </c>
      <c r="G104" s="1">
        <v>4.61991E-2</v>
      </c>
      <c r="H104" s="1">
        <v>1.142992</v>
      </c>
      <c r="I104" s="1">
        <v>0.2065941</v>
      </c>
      <c r="J104">
        <f>SIGN(SUMPRODUCT(E104:I104,'datos de entrenamiento'!$F$7:$J$7)-'datos de entrenamiento'!$L$7)</f>
        <v>-1</v>
      </c>
    </row>
    <row r="105" spans="1:10" x14ac:dyDescent="0.2">
      <c r="A105">
        <v>104</v>
      </c>
      <c r="B105" s="4" t="s">
        <v>4</v>
      </c>
      <c r="C105" s="4">
        <v>0</v>
      </c>
      <c r="D105" s="4">
        <f t="shared" si="3"/>
        <v>-1</v>
      </c>
      <c r="E105" s="1">
        <v>6.3924499999999995E-2</v>
      </c>
      <c r="F105" s="1">
        <v>0.12465859999999999</v>
      </c>
      <c r="G105" s="1">
        <v>6.0095200000000001E-2</v>
      </c>
      <c r="H105" s="1">
        <v>1.6773480000000001</v>
      </c>
      <c r="I105" s="1">
        <v>0.14597460000000001</v>
      </c>
      <c r="J105">
        <f>SIGN(SUMPRODUCT(E105:I105,'datos de entrenamiento'!$F$7:$J$7)-'datos de entrenamiento'!$L$7)</f>
        <v>-1</v>
      </c>
    </row>
    <row r="106" spans="1:10" x14ac:dyDescent="0.2">
      <c r="A106">
        <v>210</v>
      </c>
      <c r="B106" s="4" t="s">
        <v>7</v>
      </c>
      <c r="C106" s="4">
        <v>1</v>
      </c>
      <c r="D106" s="4">
        <f t="shared" si="3"/>
        <v>1</v>
      </c>
      <c r="E106" s="1">
        <v>5.5884999999999997E-3</v>
      </c>
      <c r="F106" s="1">
        <v>-0.26006790000000002</v>
      </c>
      <c r="G106" s="1">
        <v>3.6877600000000003E-2</v>
      </c>
      <c r="H106" s="1">
        <v>0.2982553</v>
      </c>
      <c r="I106" s="1">
        <v>0.14810000000000001</v>
      </c>
      <c r="J106">
        <f>SIGN(SUMPRODUCT(E106:I106,'datos de entrenamiento'!$F$7:$J$7)-'datos de entrenamiento'!$L$7)</f>
        <v>1</v>
      </c>
    </row>
    <row r="107" spans="1:10" x14ac:dyDescent="0.2">
      <c r="A107">
        <v>202</v>
      </c>
      <c r="B107" s="4" t="s">
        <v>8</v>
      </c>
      <c r="C107" s="4">
        <v>1</v>
      </c>
      <c r="D107" s="4">
        <f t="shared" si="3"/>
        <v>1</v>
      </c>
      <c r="E107" s="1">
        <v>0.18551980000000001</v>
      </c>
      <c r="F107" s="1">
        <v>0.12534680000000001</v>
      </c>
      <c r="G107" s="1">
        <v>7.14944E-2</v>
      </c>
      <c r="H107" s="1">
        <v>5.2221400000000001E-2</v>
      </c>
      <c r="I107" s="1">
        <v>0.81546289999999999</v>
      </c>
      <c r="J107">
        <f>SIGN(SUMPRODUCT(E107:I107,'datos de entrenamiento'!$F$7:$J$7)-'datos de entrenamiento'!$L$7)</f>
        <v>1</v>
      </c>
    </row>
    <row r="108" spans="1:10" x14ac:dyDescent="0.2">
      <c r="A108">
        <v>123</v>
      </c>
      <c r="B108" s="4" t="s">
        <v>4</v>
      </c>
      <c r="C108" s="4">
        <v>0</v>
      </c>
      <c r="D108" s="4">
        <f t="shared" si="3"/>
        <v>-1</v>
      </c>
      <c r="E108" s="1">
        <v>6.6028799999999999E-2</v>
      </c>
      <c r="F108" s="1">
        <v>0.1081949</v>
      </c>
      <c r="G108" s="1">
        <v>4.3270700000000002E-2</v>
      </c>
      <c r="H108" s="1">
        <v>0.14238719999999999</v>
      </c>
      <c r="I108" s="1">
        <v>0.24721019999999999</v>
      </c>
      <c r="J108">
        <f>SIGN(SUMPRODUCT(E108:I108,'datos de entrenamiento'!$F$7:$J$7)-'datos de entrenamiento'!$L$7)</f>
        <v>-1</v>
      </c>
    </row>
    <row r="109" spans="1:10" x14ac:dyDescent="0.2">
      <c r="A109">
        <v>166</v>
      </c>
      <c r="B109" s="4" t="s">
        <v>4</v>
      </c>
      <c r="C109" s="4">
        <v>0</v>
      </c>
      <c r="D109" s="4">
        <f t="shared" si="3"/>
        <v>-1</v>
      </c>
      <c r="E109" s="1">
        <v>0.16550809999999999</v>
      </c>
      <c r="F109" s="1">
        <v>0.79749300000000001</v>
      </c>
      <c r="G109" s="1">
        <v>6.42427E-2</v>
      </c>
      <c r="H109" s="1">
        <v>1.874277</v>
      </c>
      <c r="I109" s="1">
        <v>0.2772907</v>
      </c>
      <c r="J109">
        <f>SIGN(SUMPRODUCT(E109:I109,'datos de entrenamiento'!$F$7:$J$7)-'datos de entrenamiento'!$L$7)</f>
        <v>-1</v>
      </c>
    </row>
    <row r="110" spans="1:10" x14ac:dyDescent="0.2">
      <c r="A110">
        <v>79</v>
      </c>
      <c r="B110" s="4" t="s">
        <v>4</v>
      </c>
      <c r="C110" s="4">
        <v>0</v>
      </c>
      <c r="D110" s="4">
        <f t="shared" si="3"/>
        <v>-1</v>
      </c>
      <c r="E110" s="1">
        <v>1.2264199999999999E-2</v>
      </c>
      <c r="F110" s="1">
        <v>-3.5246E-2</v>
      </c>
      <c r="G110" s="1">
        <v>4.3407000000000001E-2</v>
      </c>
      <c r="H110" s="1">
        <v>3.1268359999999999</v>
      </c>
      <c r="I110" s="1">
        <v>0.11553629999999999</v>
      </c>
      <c r="J110">
        <f>SIGN(SUMPRODUCT(E110:I110,'datos de entrenamiento'!$F$7:$J$7)-'datos de entrenamiento'!$L$7)</f>
        <v>-1</v>
      </c>
    </row>
    <row r="111" spans="1:10" x14ac:dyDescent="0.2">
      <c r="A111">
        <v>62</v>
      </c>
      <c r="B111" s="4" t="s">
        <v>4</v>
      </c>
      <c r="C111" s="4">
        <v>0</v>
      </c>
      <c r="D111" s="4">
        <f t="shared" si="3"/>
        <v>-1</v>
      </c>
      <c r="E111" s="1">
        <v>7.9795599999999994E-2</v>
      </c>
      <c r="F111" s="1">
        <v>9.5275899999999997E-2</v>
      </c>
      <c r="G111" s="1">
        <v>1.5059899999999999E-2</v>
      </c>
      <c r="H111" s="1">
        <v>0.74610019999999999</v>
      </c>
      <c r="I111" s="1">
        <v>0.14264550000000001</v>
      </c>
      <c r="J111">
        <f>SIGN(SUMPRODUCT(E111:I111,'datos de entrenamiento'!$F$7:$J$7)-'datos de entrenamiento'!$L$7)</f>
        <v>-1</v>
      </c>
    </row>
    <row r="112" spans="1:10" x14ac:dyDescent="0.2">
      <c r="A112">
        <v>117</v>
      </c>
      <c r="B112" s="4" t="s">
        <v>4</v>
      </c>
      <c r="C112" s="4">
        <v>0</v>
      </c>
      <c r="D112" s="4">
        <f t="shared" si="3"/>
        <v>-1</v>
      </c>
      <c r="E112" s="1">
        <v>6.6354999999999997E-2</v>
      </c>
      <c r="F112" s="1">
        <v>0.25948890000000002</v>
      </c>
      <c r="G112" s="1">
        <v>4.3819700000000003E-2</v>
      </c>
      <c r="H112" s="1">
        <v>1.2103120000000001</v>
      </c>
      <c r="I112" s="1">
        <v>0.1879266</v>
      </c>
      <c r="J112">
        <f>SIGN(SUMPRODUCT(E112:I112,'datos de entrenamiento'!$F$7:$J$7)-'datos de entrenamiento'!$L$7)</f>
        <v>-1</v>
      </c>
    </row>
    <row r="113" spans="1:10" x14ac:dyDescent="0.2">
      <c r="A113">
        <v>65</v>
      </c>
      <c r="B113" s="4" t="s">
        <v>5</v>
      </c>
      <c r="C113" s="4">
        <v>0</v>
      </c>
      <c r="D113" s="4">
        <f t="shared" si="3"/>
        <v>-1</v>
      </c>
      <c r="E113" s="1">
        <v>4.1828400000000002E-2</v>
      </c>
      <c r="F113" s="1">
        <v>1.4074000000000001E-3</v>
      </c>
      <c r="G113" s="1">
        <v>4.2676600000000002E-2</v>
      </c>
      <c r="H113" s="1">
        <v>0.64149829999999997</v>
      </c>
      <c r="I113" s="1">
        <v>0.13342509999999999</v>
      </c>
      <c r="J113">
        <f>SIGN(SUMPRODUCT(E113:I113,'datos de entrenamiento'!$F$7:$J$7)-'datos de entrenamiento'!$L$7)</f>
        <v>-1</v>
      </c>
    </row>
    <row r="114" spans="1:10" x14ac:dyDescent="0.2">
      <c r="A114">
        <v>217</v>
      </c>
      <c r="B114" s="4" t="s">
        <v>5</v>
      </c>
      <c r="C114" s="4">
        <v>0</v>
      </c>
      <c r="D114" s="4">
        <f t="shared" si="3"/>
        <v>-1</v>
      </c>
      <c r="E114" s="1">
        <v>0.36121989999999998</v>
      </c>
      <c r="F114" s="1">
        <v>5.2343599999999997E-2</v>
      </c>
      <c r="G114" s="1">
        <v>2.41485E-2</v>
      </c>
      <c r="H114" s="1">
        <v>1.7078500000000001</v>
      </c>
      <c r="I114" s="1">
        <v>6.1494300000000002E-2</v>
      </c>
      <c r="J114">
        <f>SIGN(SUMPRODUCT(E114:I114,'datos de entrenamiento'!$F$7:$J$7)-'datos de entrenamiento'!$L$7)</f>
        <v>1</v>
      </c>
    </row>
    <row r="115" spans="1:10" x14ac:dyDescent="0.2">
      <c r="A115">
        <v>16</v>
      </c>
      <c r="B115" s="4" t="s">
        <v>6</v>
      </c>
      <c r="C115" s="4">
        <v>1</v>
      </c>
      <c r="D115" s="4">
        <f t="shared" si="3"/>
        <v>1</v>
      </c>
      <c r="E115" s="1">
        <v>-0.4376198</v>
      </c>
      <c r="F115" s="1">
        <v>-8.6269100000000001E-2</v>
      </c>
      <c r="G115" s="1">
        <v>2.98175E-2</v>
      </c>
      <c r="H115" s="1">
        <v>5.42411E-2</v>
      </c>
      <c r="I115" s="1">
        <v>0.33397559999999998</v>
      </c>
      <c r="J115">
        <f>SIGN(SUMPRODUCT(E115:I115,'datos de entrenamiento'!$F$7:$J$7)-'datos de entrenamiento'!$L$7)</f>
        <v>-1</v>
      </c>
    </row>
    <row r="116" spans="1:10" x14ac:dyDescent="0.2">
      <c r="A116">
        <v>59</v>
      </c>
      <c r="B116" s="4" t="s">
        <v>4</v>
      </c>
      <c r="C116" s="4">
        <v>0</v>
      </c>
      <c r="D116" s="4">
        <f t="shared" si="3"/>
        <v>-1</v>
      </c>
      <c r="E116" s="1">
        <v>0.1230267</v>
      </c>
      <c r="F116" s="1">
        <v>0.36383959999999999</v>
      </c>
      <c r="G116" s="1">
        <v>7.2795799999999994E-2</v>
      </c>
      <c r="H116" s="1">
        <v>4.6303539999999996</v>
      </c>
      <c r="I116" s="1">
        <v>0.2169732</v>
      </c>
      <c r="J116">
        <f>SIGN(SUMPRODUCT(E116:I116,'datos de entrenamiento'!$F$7:$J$7)-'datos de entrenamiento'!$L$7)</f>
        <v>-1</v>
      </c>
    </row>
    <row r="117" spans="1:10" x14ac:dyDescent="0.2">
      <c r="A117">
        <v>213</v>
      </c>
      <c r="B117" s="4" t="s">
        <v>4</v>
      </c>
      <c r="C117" s="4">
        <v>0</v>
      </c>
      <c r="D117" s="4">
        <f t="shared" si="3"/>
        <v>-1</v>
      </c>
      <c r="E117" s="1">
        <v>0.33444119999999999</v>
      </c>
      <c r="F117" s="1">
        <v>0.13198679999999999</v>
      </c>
      <c r="G117" s="1">
        <v>3.3724400000000002E-2</v>
      </c>
      <c r="H117" s="1">
        <v>0.33308850000000001</v>
      </c>
      <c r="I117" s="1">
        <v>0.1422774</v>
      </c>
      <c r="J117">
        <f>SIGN(SUMPRODUCT(E117:I117,'datos de entrenamiento'!$F$7:$J$7)-'datos de entrenamiento'!$L$7)</f>
        <v>1</v>
      </c>
    </row>
    <row r="118" spans="1:10" x14ac:dyDescent="0.2">
      <c r="A118">
        <v>93</v>
      </c>
      <c r="B118" s="4" t="s">
        <v>8</v>
      </c>
      <c r="C118" s="4">
        <v>1</v>
      </c>
      <c r="D118" s="4">
        <f t="shared" si="3"/>
        <v>1</v>
      </c>
      <c r="E118" s="1">
        <v>0.24432619999999999</v>
      </c>
      <c r="F118" s="1">
        <v>-0.28897800000000001</v>
      </c>
      <c r="G118" s="1">
        <v>5.9090200000000002E-2</v>
      </c>
      <c r="H118" s="1">
        <v>2.1270380000000002</v>
      </c>
      <c r="I118" s="1">
        <v>0.21375340000000001</v>
      </c>
      <c r="J118">
        <f>SIGN(SUMPRODUCT(E118:I118,'datos de entrenamiento'!$F$7:$J$7)-'datos de entrenamiento'!$L$7)</f>
        <v>1</v>
      </c>
    </row>
    <row r="119" spans="1:10" x14ac:dyDescent="0.2">
      <c r="A119">
        <v>187</v>
      </c>
      <c r="B119" s="4" t="s">
        <v>5</v>
      </c>
      <c r="C119" s="4">
        <v>1</v>
      </c>
      <c r="D119" s="4">
        <f t="shared" si="3"/>
        <v>1</v>
      </c>
      <c r="E119" s="1">
        <v>0.157971</v>
      </c>
      <c r="F119" s="1">
        <v>0.108848</v>
      </c>
      <c r="G119" s="1">
        <v>7.4834499999999998E-2</v>
      </c>
      <c r="H119" s="1">
        <v>1.363119</v>
      </c>
      <c r="I119" s="1">
        <v>0.3977579</v>
      </c>
      <c r="J119">
        <f>SIGN(SUMPRODUCT(E119:I119,'datos de entrenamiento'!$F$7:$J$7)-'datos de entrenamiento'!$L$7)</f>
        <v>-1</v>
      </c>
    </row>
    <row r="120" spans="1:10" x14ac:dyDescent="0.2">
      <c r="A120">
        <v>140</v>
      </c>
      <c r="B120" s="4" t="s">
        <v>4</v>
      </c>
      <c r="C120" s="4">
        <v>0</v>
      </c>
      <c r="D120" s="4">
        <f t="shared" si="3"/>
        <v>-1</v>
      </c>
      <c r="E120" s="1">
        <v>6.9555900000000004E-2</v>
      </c>
      <c r="F120" s="1">
        <v>0.30270849999999999</v>
      </c>
      <c r="G120" s="1">
        <v>6.4552700000000005E-2</v>
      </c>
      <c r="H120" s="1">
        <v>1.814792</v>
      </c>
      <c r="I120" s="1">
        <v>0.1734155</v>
      </c>
      <c r="J120">
        <f>SIGN(SUMPRODUCT(E120:I120,'datos de entrenamiento'!$F$7:$J$7)-'datos de entrenamiento'!$L$7)</f>
        <v>-1</v>
      </c>
    </row>
    <row r="121" spans="1:10" x14ac:dyDescent="0.2">
      <c r="A121">
        <v>169</v>
      </c>
      <c r="B121" s="4" t="s">
        <v>4</v>
      </c>
      <c r="C121" s="4">
        <v>0</v>
      </c>
      <c r="D121" s="4">
        <f t="shared" si="3"/>
        <v>-1</v>
      </c>
      <c r="E121" s="1">
        <v>0.1218325</v>
      </c>
      <c r="F121" s="1">
        <v>0.72319849999999997</v>
      </c>
      <c r="G121" s="1">
        <v>6.7295199999999999E-2</v>
      </c>
      <c r="H121" s="1">
        <v>2.415635</v>
      </c>
      <c r="I121" s="1">
        <v>0.25794260000000002</v>
      </c>
      <c r="J121">
        <f>SIGN(SUMPRODUCT(E121:I121,'datos de entrenamiento'!$F$7:$J$7)-'datos de entrenamiento'!$L$7)</f>
        <v>-1</v>
      </c>
    </row>
    <row r="122" spans="1:10" x14ac:dyDescent="0.2">
      <c r="A122">
        <v>206</v>
      </c>
      <c r="B122" s="4" t="s">
        <v>4</v>
      </c>
      <c r="C122" s="4">
        <v>0</v>
      </c>
      <c r="D122" s="4">
        <f t="shared" si="3"/>
        <v>-1</v>
      </c>
      <c r="E122" s="1">
        <v>8.8529899999999995E-2</v>
      </c>
      <c r="F122" s="1">
        <v>0.41931970000000002</v>
      </c>
      <c r="G122" s="1">
        <v>6.30526E-2</v>
      </c>
      <c r="H122" s="1">
        <v>1.540535</v>
      </c>
      <c r="I122" s="1">
        <v>0.20213700000000001</v>
      </c>
      <c r="J122">
        <f>SIGN(SUMPRODUCT(E122:I122,'datos de entrenamiento'!$F$7:$J$7)-'datos de entrenamiento'!$L$7)</f>
        <v>-1</v>
      </c>
    </row>
    <row r="123" spans="1:10" x14ac:dyDescent="0.2">
      <c r="A123">
        <v>53</v>
      </c>
      <c r="B123" s="4" t="s">
        <v>4</v>
      </c>
      <c r="C123" s="4">
        <v>0</v>
      </c>
      <c r="D123" s="4">
        <f t="shared" si="3"/>
        <v>-1</v>
      </c>
      <c r="E123" s="1">
        <v>-1.0013000000000001E-3</v>
      </c>
      <c r="F123" s="1">
        <v>0.15111330000000001</v>
      </c>
      <c r="G123" s="1">
        <v>3.3298899999999999E-2</v>
      </c>
      <c r="H123" s="1">
        <v>0.5751773</v>
      </c>
      <c r="I123" s="1">
        <v>8.8600200000000004E-2</v>
      </c>
      <c r="J123">
        <f>SIGN(SUMPRODUCT(E123:I123,'datos de entrenamiento'!$F$7:$J$7)-'datos de entrenamiento'!$L$7)</f>
        <v>-1</v>
      </c>
    </row>
    <row r="124" spans="1:10" x14ac:dyDescent="0.2">
      <c r="A124">
        <v>148</v>
      </c>
      <c r="B124" s="4" t="s">
        <v>4</v>
      </c>
      <c r="C124" s="4">
        <v>0</v>
      </c>
      <c r="D124" s="4">
        <f t="shared" si="3"/>
        <v>-1</v>
      </c>
      <c r="E124" s="1">
        <v>4.3758100000000001E-2</v>
      </c>
      <c r="F124" s="1">
        <v>0.39491999999999999</v>
      </c>
      <c r="G124" s="1">
        <v>4.36625E-2</v>
      </c>
      <c r="H124" s="1">
        <v>1.5446200000000001</v>
      </c>
      <c r="I124" s="1">
        <v>0.1434598</v>
      </c>
      <c r="J124">
        <f>SIGN(SUMPRODUCT(E124:I124,'datos de entrenamiento'!$F$7:$J$7)-'datos de entrenamiento'!$L$7)</f>
        <v>-1</v>
      </c>
    </row>
    <row r="125" spans="1:10" x14ac:dyDescent="0.2">
      <c r="A125">
        <v>185</v>
      </c>
      <c r="B125" s="4" t="s">
        <v>6</v>
      </c>
      <c r="C125" s="4">
        <v>0</v>
      </c>
      <c r="D125" s="4">
        <f t="shared" si="3"/>
        <v>-1</v>
      </c>
      <c r="E125" s="1">
        <v>0.14077780000000001</v>
      </c>
      <c r="F125" s="1">
        <v>-7.6318300000000006E-2</v>
      </c>
      <c r="G125" s="1">
        <v>2.0041099999999999E-2</v>
      </c>
      <c r="H125" s="1">
        <v>3.606862</v>
      </c>
      <c r="I125" s="1">
        <v>8.8765200000000002E-2</v>
      </c>
      <c r="J125">
        <f>SIGN(SUMPRODUCT(E125:I125,'datos de entrenamiento'!$F$7:$J$7)-'datos de entrenamiento'!$L$7)</f>
        <v>-1</v>
      </c>
    </row>
    <row r="126" spans="1:10" x14ac:dyDescent="0.2">
      <c r="A126">
        <v>88</v>
      </c>
      <c r="B126" s="4" t="s">
        <v>7</v>
      </c>
      <c r="C126" s="4">
        <v>1</v>
      </c>
      <c r="D126" s="4">
        <f t="shared" si="3"/>
        <v>1</v>
      </c>
      <c r="E126" s="1">
        <v>-0.1218887</v>
      </c>
      <c r="F126" s="1">
        <v>-0.1943018</v>
      </c>
      <c r="G126" s="1">
        <v>2.1767100000000001E-2</v>
      </c>
      <c r="H126" s="1">
        <v>0.14646219999999999</v>
      </c>
      <c r="I126" s="1">
        <v>0.3162027</v>
      </c>
      <c r="J126">
        <f>SIGN(SUMPRODUCT(E126:I126,'datos de entrenamiento'!$F$7:$J$7)-'datos de entrenamiento'!$L$7)</f>
        <v>-1</v>
      </c>
    </row>
  </sheetData>
  <mergeCells count="1">
    <mergeCell ref="L9:M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 de entrenamiento</vt:lpstr>
      <vt:lpstr>datos de prueba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Katerine Olivera</dc:creator>
  <cp:lastModifiedBy>ANFI</cp:lastModifiedBy>
  <dcterms:created xsi:type="dcterms:W3CDTF">2009-10-14T14:02:15Z</dcterms:created>
  <dcterms:modified xsi:type="dcterms:W3CDTF">2014-09-30T21:24:17Z</dcterms:modified>
</cp:coreProperties>
</file>