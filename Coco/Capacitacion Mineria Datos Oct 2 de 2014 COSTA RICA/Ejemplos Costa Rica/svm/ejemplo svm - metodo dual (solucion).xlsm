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30" windowWidth="20730" windowHeight="10050" activeTab="1"/>
  </bookViews>
  <sheets>
    <sheet name="ejemplo simple" sheetId="1" r:id="rId1"/>
    <sheet name="soft margin" sheetId="5" r:id="rId2"/>
  </sheets>
  <functionGroups builtInGroupCount="17"/>
  <definedNames>
    <definedName name="solver_adj" localSheetId="0" hidden="1">'ejemplo simple'!$E$2:$E$10</definedName>
    <definedName name="solver_adj" localSheetId="1" hidden="1">'soft margin'!$E$2:$E$10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'ejemplo simple'!$O$3</definedName>
    <definedName name="solver_lhs1" localSheetId="1" hidden="1">'soft margin'!$E$2:$E$10</definedName>
    <definedName name="solver_lhs2" localSheetId="1" hidden="1">'soft margin'!$O$3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1</definedName>
    <definedName name="solver_num" localSheetId="1" hidden="1">2</definedName>
    <definedName name="solver_nwt" localSheetId="0" hidden="1">1</definedName>
    <definedName name="solver_nwt" localSheetId="1" hidden="1">1</definedName>
    <definedName name="solver_opt" localSheetId="0" hidden="1">'ejemplo simple'!$O$2</definedName>
    <definedName name="solver_opt" localSheetId="1" hidden="1">'soft margin'!$O$2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2</definedName>
    <definedName name="solver_rel1" localSheetId="1" hidden="1">1</definedName>
    <definedName name="solver_rel2" localSheetId="1" hidden="1">2</definedName>
    <definedName name="solver_rhs1" localSheetId="0" hidden="1">0</definedName>
    <definedName name="solver_rhs1" localSheetId="1" hidden="1">'soft margin'!$O$4</definedName>
    <definedName name="solver_rhs2" localSheetId="1" hidden="1">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O3" i="5" l="1"/>
  <c r="J3" i="5"/>
  <c r="I3" i="5"/>
  <c r="O9" i="1"/>
  <c r="G10" i="1"/>
  <c r="G9" i="1"/>
  <c r="G8" i="1"/>
  <c r="G7" i="1"/>
  <c r="G6" i="1"/>
  <c r="G5" i="1"/>
  <c r="G4" i="1"/>
  <c r="G3" i="1"/>
  <c r="K3" i="1"/>
  <c r="G2" i="1"/>
  <c r="F10" i="1"/>
  <c r="F9" i="1"/>
  <c r="F8" i="1"/>
  <c r="F7" i="1"/>
  <c r="F6" i="1"/>
  <c r="F5" i="1"/>
  <c r="F4" i="1"/>
  <c r="F3" i="1"/>
  <c r="F2" i="1"/>
  <c r="J3" i="1"/>
  <c r="I3" i="1"/>
  <c r="O3" i="1"/>
  <c r="O2" i="5"/>
  <c r="O2" i="1"/>
  <c r="F7" i="5" l="1"/>
  <c r="F5" i="5"/>
  <c r="F6" i="5"/>
  <c r="F9" i="5"/>
  <c r="F8" i="5"/>
  <c r="F2" i="5"/>
  <c r="F10" i="5"/>
  <c r="F3" i="5"/>
  <c r="F4" i="5"/>
  <c r="D2" i="1"/>
  <c r="D3" i="1"/>
  <c r="D4" i="1"/>
  <c r="D5" i="1"/>
  <c r="D8" i="1"/>
  <c r="D6" i="1"/>
  <c r="D7" i="1"/>
  <c r="D9" i="1"/>
  <c r="D10" i="1"/>
  <c r="K3" i="5" l="1"/>
  <c r="G9" i="5" s="1"/>
  <c r="E18" i="1"/>
  <c r="E19" i="1"/>
  <c r="E20" i="1"/>
  <c r="E21" i="1"/>
  <c r="E22" i="1"/>
  <c r="E23" i="1"/>
  <c r="E24" i="1"/>
  <c r="E25" i="1"/>
  <c r="E26" i="1"/>
  <c r="E27" i="1"/>
  <c r="E17" i="1"/>
  <c r="D27" i="1"/>
  <c r="D26" i="1"/>
  <c r="D25" i="1"/>
  <c r="D24" i="1"/>
  <c r="D23" i="1"/>
  <c r="D22" i="1"/>
  <c r="D21" i="1"/>
  <c r="D20" i="1"/>
  <c r="D19" i="1"/>
  <c r="D18" i="1"/>
  <c r="D17" i="1"/>
  <c r="D7" i="5" l="1"/>
  <c r="D4" i="5"/>
  <c r="D25" i="5"/>
  <c r="E17" i="5"/>
  <c r="G2" i="5"/>
  <c r="D3" i="5"/>
  <c r="D5" i="5"/>
  <c r="G4" i="5"/>
  <c r="E23" i="5"/>
  <c r="G7" i="5"/>
  <c r="E22" i="5"/>
  <c r="D17" i="5"/>
  <c r="E27" i="5"/>
  <c r="D24" i="5"/>
  <c r="E19" i="5"/>
  <c r="D27" i="5"/>
  <c r="D19" i="5"/>
  <c r="D23" i="5"/>
  <c r="D9" i="5"/>
  <c r="G5" i="5"/>
  <c r="E24" i="5"/>
  <c r="G6" i="5"/>
  <c r="G8" i="5"/>
  <c r="E26" i="5"/>
  <c r="D2" i="5"/>
  <c r="D18" i="5"/>
  <c r="G10" i="5"/>
  <c r="D8" i="5"/>
  <c r="E20" i="5"/>
  <c r="G3" i="5"/>
  <c r="D26" i="5"/>
  <c r="D20" i="5"/>
  <c r="E21" i="5"/>
  <c r="D21" i="5"/>
  <c r="E18" i="5"/>
  <c r="D22" i="5"/>
  <c r="D6" i="5"/>
  <c r="D10" i="5"/>
  <c r="E25" i="5"/>
  <c r="O9" i="5" l="1"/>
</calcChain>
</file>

<file path=xl/sharedStrings.xml><?xml version="1.0" encoding="utf-8"?>
<sst xmlns="http://schemas.openxmlformats.org/spreadsheetml/2006/main" count="31" uniqueCount="16">
  <si>
    <t>w1</t>
  </si>
  <si>
    <t>w2</t>
  </si>
  <si>
    <t>b</t>
  </si>
  <si>
    <t>x2</t>
  </si>
  <si>
    <t>estado</t>
  </si>
  <si>
    <t>x1</t>
  </si>
  <si>
    <t>separacion</t>
  </si>
  <si>
    <t>alpha</t>
  </si>
  <si>
    <t>offset</t>
  </si>
  <si>
    <t>objetivo a maximizar</t>
  </si>
  <si>
    <t>constraint</t>
  </si>
  <si>
    <t>Resultados</t>
  </si>
  <si>
    <t>aciertos</t>
  </si>
  <si>
    <t>guess</t>
  </si>
  <si>
    <t>C</t>
  </si>
  <si>
    <t>samples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</si>
</sst>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Fill="1" applyBorder="1" applyAlignment="1">
      <alignment horizontal="center"/>
    </xf>
    <xf numFmtId="0" fontId="0" fillId="0" borderId="1" xfId="0" applyFill="1" applyBorder="1"/>
    <xf numFmtId="0" fontId="1" fillId="0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/>
    <xf numFmtId="9" fontId="0" fillId="0" borderId="1" xfId="1" applyFont="1" applyBorder="1"/>
    <xf numFmtId="0" fontId="4" fillId="0" borderId="1" xfId="0" applyFont="1" applyBorder="1" applyAlignment="1">
      <alignment horizontal="center" vertical="center" wrapText="1"/>
    </xf>
    <xf numFmtId="0" fontId="0" fillId="2" borderId="1" xfId="0" applyFill="1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Puntos originales</c:v>
          </c:tx>
          <c:spPr>
            <a:ln w="28575">
              <a:noFill/>
            </a:ln>
          </c:spPr>
          <c:xVal>
            <c:numRef>
              <c:f>'ejemplo simple'!$A$2:$A$10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'ejemplo simple'!$B$2:$B$10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ser>
          <c:idx val="1"/>
          <c:order val="1"/>
          <c:tx>
            <c:v>Primer separador</c:v>
          </c:tx>
          <c:spPr>
            <a:ln w="28575">
              <a:noFill/>
            </a:ln>
          </c:spPr>
          <c:xVal>
            <c:numRef>
              <c:f>'ejemplo simple'!$D$17:$D$32</c:f>
              <c:numCache>
                <c:formatCode>General</c:formatCode>
                <c:ptCount val="16"/>
                <c:pt idx="0">
                  <c:v>-0.99975136037462076</c:v>
                </c:pt>
                <c:pt idx="1">
                  <c:v>0.50021465510829677</c:v>
                </c:pt>
                <c:pt idx="2">
                  <c:v>2.0001806705912144</c:v>
                </c:pt>
                <c:pt idx="3">
                  <c:v>3.5001466860741317</c:v>
                </c:pt>
                <c:pt idx="4">
                  <c:v>5.0001127015570495</c:v>
                </c:pt>
                <c:pt idx="5">
                  <c:v>6.5000787170399663</c:v>
                </c:pt>
                <c:pt idx="6">
                  <c:v>8.0000447325228841</c:v>
                </c:pt>
                <c:pt idx="7">
                  <c:v>9.5000107480058009</c:v>
                </c:pt>
                <c:pt idx="8">
                  <c:v>10.99997676348872</c:v>
                </c:pt>
                <c:pt idx="9">
                  <c:v>12.499942778971636</c:v>
                </c:pt>
                <c:pt idx="10">
                  <c:v>13.999908794454553</c:v>
                </c:pt>
              </c:numCache>
            </c:numRef>
          </c:xVal>
          <c:yVal>
            <c:numRef>
              <c:f>'ejemplo simple'!$C$17:$C$32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v>Segundo separador</c:v>
          </c:tx>
          <c:spPr>
            <a:ln w="28575">
              <a:noFill/>
            </a:ln>
          </c:spPr>
          <c:xVal>
            <c:numRef>
              <c:f>'ejemplo simple'!$E$17:$E$32</c:f>
              <c:numCache>
                <c:formatCode>General</c:formatCode>
                <c:ptCount val="16"/>
                <c:pt idx="0">
                  <c:v>-12.999818459158947</c:v>
                </c:pt>
                <c:pt idx="1">
                  <c:v>-11.49985244367603</c:v>
                </c:pt>
                <c:pt idx="2">
                  <c:v>-9.9998864281931112</c:v>
                </c:pt>
                <c:pt idx="3">
                  <c:v>-8.4999204127101962</c:v>
                </c:pt>
                <c:pt idx="4">
                  <c:v>-6.9999543972272766</c:v>
                </c:pt>
                <c:pt idx="5">
                  <c:v>-5.4999883817443607</c:v>
                </c:pt>
                <c:pt idx="6">
                  <c:v>-4.0000223662614429</c:v>
                </c:pt>
                <c:pt idx="7">
                  <c:v>-2.5000563507785252</c:v>
                </c:pt>
                <c:pt idx="8">
                  <c:v>-1.0000903352956072</c:v>
                </c:pt>
                <c:pt idx="9">
                  <c:v>0.49987568018731038</c:v>
                </c:pt>
                <c:pt idx="10">
                  <c:v>1.9998416956702267</c:v>
                </c:pt>
              </c:numCache>
            </c:numRef>
          </c:xVal>
          <c:yVal>
            <c:numRef>
              <c:f>'ejemplo simple'!$C$17:$C$32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07584"/>
        <c:axId val="71938432"/>
      </c:scatterChart>
      <c:valAx>
        <c:axId val="7190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938432"/>
        <c:crosses val="autoZero"/>
        <c:crossBetween val="midCat"/>
      </c:valAx>
      <c:valAx>
        <c:axId val="7193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9075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Datos originales</c:v>
          </c:tx>
          <c:spPr>
            <a:ln w="28575">
              <a:noFill/>
            </a:ln>
          </c:spPr>
          <c:xVal>
            <c:numRef>
              <c:f>'ejemplo simple'!$A$2:$A$10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'ejemplo simple'!$B$2:$B$10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72256"/>
        <c:axId val="75073792"/>
      </c:scatterChart>
      <c:valAx>
        <c:axId val="75072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073792"/>
        <c:crosses val="autoZero"/>
        <c:crossBetween val="midCat"/>
      </c:valAx>
      <c:valAx>
        <c:axId val="7507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5072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Puntos originales</c:v>
          </c:tx>
          <c:spPr>
            <a:ln w="28575">
              <a:noFill/>
            </a:ln>
          </c:spPr>
          <c:xVal>
            <c:numRef>
              <c:f>'soft margin'!$A$2:$A$10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'soft margin'!$B$2:$B$10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ser>
          <c:idx val="1"/>
          <c:order val="1"/>
          <c:tx>
            <c:v>Primer separador</c:v>
          </c:tx>
          <c:spPr>
            <a:ln w="28575">
              <a:noFill/>
            </a:ln>
          </c:spPr>
          <c:xVal>
            <c:numRef>
              <c:f>'soft margin'!$D$17:$D$32</c:f>
              <c:numCache>
                <c:formatCode>General</c:formatCode>
                <c:ptCount val="16"/>
                <c:pt idx="0">
                  <c:v>0.39703825559291983</c:v>
                </c:pt>
                <c:pt idx="1">
                  <c:v>1.9008771841066976</c:v>
                </c:pt>
                <c:pt idx="2">
                  <c:v>3.4047161126204757</c:v>
                </c:pt>
                <c:pt idx="3">
                  <c:v>4.9085550411342531</c:v>
                </c:pt>
                <c:pt idx="4">
                  <c:v>6.412393969648031</c:v>
                </c:pt>
                <c:pt idx="5">
                  <c:v>7.9162328981618106</c:v>
                </c:pt>
                <c:pt idx="6">
                  <c:v>9.420071826675585</c:v>
                </c:pt>
                <c:pt idx="7">
                  <c:v>10.923910755189363</c:v>
                </c:pt>
                <c:pt idx="8">
                  <c:v>12.427749683703142</c:v>
                </c:pt>
                <c:pt idx="9">
                  <c:v>13.93158861221692</c:v>
                </c:pt>
                <c:pt idx="10">
                  <c:v>15.435427540730698</c:v>
                </c:pt>
              </c:numCache>
            </c:numRef>
          </c:xVal>
          <c:yVal>
            <c:numRef>
              <c:f>'soft margin'!$C$17:$C$32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v>Segundo separador</c:v>
          </c:tx>
          <c:spPr>
            <a:ln w="28575">
              <a:noFill/>
            </a:ln>
          </c:spPr>
          <c:xVal>
            <c:numRef>
              <c:f>'soft margin'!$E$17:$E$32</c:f>
              <c:numCache>
                <c:formatCode>General</c:formatCode>
                <c:ptCount val="16"/>
                <c:pt idx="0">
                  <c:v>-13.840143653351177</c:v>
                </c:pt>
                <c:pt idx="1">
                  <c:v>-12.336304724837399</c:v>
                </c:pt>
                <c:pt idx="2">
                  <c:v>-10.83246579632362</c:v>
                </c:pt>
                <c:pt idx="3">
                  <c:v>-9.3286268678098434</c:v>
                </c:pt>
                <c:pt idx="4">
                  <c:v>-7.8247879392960655</c:v>
                </c:pt>
                <c:pt idx="5">
                  <c:v>-6.3209490107822868</c:v>
                </c:pt>
                <c:pt idx="6">
                  <c:v>-4.8171100822685098</c:v>
                </c:pt>
                <c:pt idx="7">
                  <c:v>-3.3132711537547319</c:v>
                </c:pt>
                <c:pt idx="8">
                  <c:v>-1.8094322252409536</c:v>
                </c:pt>
                <c:pt idx="9">
                  <c:v>-0.30559329672717545</c:v>
                </c:pt>
                <c:pt idx="10">
                  <c:v>1.1982456317866028</c:v>
                </c:pt>
              </c:numCache>
            </c:numRef>
          </c:xVal>
          <c:yVal>
            <c:numRef>
              <c:f>'soft margin'!$C$17:$C$32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048000"/>
        <c:axId val="115160576"/>
      </c:scatterChart>
      <c:valAx>
        <c:axId val="11404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5160576"/>
        <c:crosses val="autoZero"/>
        <c:crossBetween val="midCat"/>
      </c:valAx>
      <c:valAx>
        <c:axId val="11516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480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Datos originales</c:v>
          </c:tx>
          <c:spPr>
            <a:ln w="28575">
              <a:noFill/>
            </a:ln>
          </c:spPr>
          <c:xVal>
            <c:numRef>
              <c:f>'soft margin'!$A$2:$A$10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'soft margin'!$B$2:$B$10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67776"/>
        <c:axId val="137482240"/>
      </c:scatterChart>
      <c:valAx>
        <c:axId val="13746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482240"/>
        <c:crosses val="autoZero"/>
        <c:crossBetween val="midCat"/>
      </c:valAx>
      <c:valAx>
        <c:axId val="13748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4677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13</xdr:row>
      <xdr:rowOff>104775</xdr:rowOff>
    </xdr:from>
    <xdr:to>
      <xdr:col>13</xdr:col>
      <xdr:colOff>495300</xdr:colOff>
      <xdr:row>27</xdr:row>
      <xdr:rowOff>180975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13</xdr:row>
      <xdr:rowOff>152400</xdr:rowOff>
    </xdr:from>
    <xdr:to>
      <xdr:col>6</xdr:col>
      <xdr:colOff>647700</xdr:colOff>
      <xdr:row>28</xdr:row>
      <xdr:rowOff>47625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13</xdr:row>
      <xdr:rowOff>104775</xdr:rowOff>
    </xdr:from>
    <xdr:to>
      <xdr:col>13</xdr:col>
      <xdr:colOff>495300</xdr:colOff>
      <xdr:row>27</xdr:row>
      <xdr:rowOff>180975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13</xdr:row>
      <xdr:rowOff>152400</xdr:rowOff>
    </xdr:from>
    <xdr:to>
      <xdr:col>6</xdr:col>
      <xdr:colOff>647700</xdr:colOff>
      <xdr:row>28</xdr:row>
      <xdr:rowOff>47625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27"/>
  <sheetViews>
    <sheetView workbookViewId="0">
      <selection activeCell="O9" sqref="O9"/>
    </sheetView>
  </sheetViews>
  <sheetFormatPr baseColWidth="10" defaultRowHeight="15" x14ac:dyDescent="0.25"/>
  <cols>
    <col min="14" max="14" width="11.42578125" customWidth="1"/>
  </cols>
  <sheetData>
    <row r="1" spans="1:15" x14ac:dyDescent="0.25">
      <c r="A1" s="2" t="s">
        <v>5</v>
      </c>
      <c r="B1" s="2" t="s">
        <v>3</v>
      </c>
      <c r="C1" s="2" t="s">
        <v>4</v>
      </c>
      <c r="D1" s="2" t="s">
        <v>6</v>
      </c>
      <c r="E1" s="6" t="s">
        <v>7</v>
      </c>
      <c r="F1" s="6" t="s">
        <v>8</v>
      </c>
      <c r="G1" s="6" t="s">
        <v>13</v>
      </c>
      <c r="H1" s="4"/>
    </row>
    <row r="2" spans="1:15" ht="25.5" x14ac:dyDescent="0.25">
      <c r="A2" s="14">
        <v>2</v>
      </c>
      <c r="B2" s="14">
        <v>2</v>
      </c>
      <c r="C2" s="14">
        <v>1</v>
      </c>
      <c r="D2" s="3">
        <f>C2*(SUMPRODUCT(A2:B2,$I$3:$J$3)-$K$3)</f>
        <v>0.99996988840316858</v>
      </c>
      <c r="E2" s="5">
        <v>4.5137928486438966E-2</v>
      </c>
      <c r="F2">
        <f>IF(E2&gt;0.0001,SUMPRODUCT($I$3:$J$3,A2:B2)-C2,"")</f>
        <v>-1.1666544066352986</v>
      </c>
      <c r="G2">
        <f>IF(SUMPRODUCT($I$3:$J$3,A2:B2)-$K$3&gt;0,1,-1)</f>
        <v>1</v>
      </c>
      <c r="I2" s="7" t="s">
        <v>0</v>
      </c>
      <c r="J2" s="7" t="s">
        <v>1</v>
      </c>
      <c r="K2" s="7" t="s">
        <v>2</v>
      </c>
      <c r="N2" s="13" t="s">
        <v>9</v>
      </c>
      <c r="O2" s="9">
        <f>SUM(E2:E10)-0.5*multiplica(E2:E10,C2:C10,A2:B10)</f>
        <v>4.5138888863519175E-2</v>
      </c>
    </row>
    <row r="3" spans="1:15" x14ac:dyDescent="0.25">
      <c r="A3" s="1">
        <v>3</v>
      </c>
      <c r="B3" s="1">
        <v>2</v>
      </c>
      <c r="C3" s="1">
        <v>1</v>
      </c>
      <c r="D3" s="3">
        <f t="shared" ref="D3:D10" si="0">C3*(SUMPRODUCT(A3:B3,$I$3:$J$3)-$K$3)</f>
        <v>1.1666356231474861</v>
      </c>
      <c r="E3" s="5">
        <v>0</v>
      </c>
      <c r="F3" t="str">
        <f>IF(E3&gt;0.0001,SUMPRODUCT($I$3:$J$3,A3:B3)-C3,"")</f>
        <v/>
      </c>
      <c r="G3">
        <f t="shared" ref="G3:G10" si="1">IF(SUMPRODUCT($I$3:$J$3,A3:B3)-$K$3&gt;0,1,-1)</f>
        <v>1</v>
      </c>
      <c r="I3" s="7">
        <f>SUMPRODUCT(A2:A10,$C$2:$C$10,$E$2:$E$10)</f>
        <v>0.16666573474431748</v>
      </c>
      <c r="J3" s="7">
        <f>SUMPRODUCT(B2:B10,$C$2:$C$10,$E$2:$E$10)</f>
        <v>-0.24999293806196674</v>
      </c>
      <c r="K3" s="7">
        <f>AVERAGE(F2:F10)</f>
        <v>-1.1666242950384671</v>
      </c>
      <c r="N3" s="8" t="s">
        <v>10</v>
      </c>
      <c r="O3" s="9">
        <f>SUMPRODUCT(E2:E10,C2:C10)</f>
        <v>3.4694469519536142E-18</v>
      </c>
    </row>
    <row r="4" spans="1:15" x14ac:dyDescent="0.25">
      <c r="A4" s="1">
        <v>4</v>
      </c>
      <c r="B4" s="1">
        <v>2</v>
      </c>
      <c r="C4" s="1">
        <v>1</v>
      </c>
      <c r="D4" s="3">
        <f t="shared" si="0"/>
        <v>1.3333013578918036</v>
      </c>
      <c r="E4" s="5">
        <v>0</v>
      </c>
      <c r="F4" t="str">
        <f>IF(E4&gt;0.0001,SUMPRODUCT($I$3:$J$3,A4:B4)-C4,"")</f>
        <v/>
      </c>
      <c r="G4">
        <f t="shared" si="1"/>
        <v>1</v>
      </c>
      <c r="N4" s="8"/>
      <c r="O4" s="9"/>
    </row>
    <row r="5" spans="1:15" x14ac:dyDescent="0.25">
      <c r="A5" s="14">
        <v>2</v>
      </c>
      <c r="B5" s="14">
        <v>10</v>
      </c>
      <c r="C5" s="14">
        <v>-1</v>
      </c>
      <c r="D5" s="3">
        <f t="shared" si="0"/>
        <v>0.99997361609256519</v>
      </c>
      <c r="E5" s="5">
        <v>1.7360306029052718E-2</v>
      </c>
      <c r="F5">
        <f>IF(E5&gt;0.0001,SUMPRODUCT($I$3:$J$3,A5:B5)-C5,"")</f>
        <v>-1.1665979111310323</v>
      </c>
      <c r="G5">
        <f t="shared" si="1"/>
        <v>-1</v>
      </c>
    </row>
    <row r="6" spans="1:15" x14ac:dyDescent="0.25">
      <c r="A6" s="14">
        <v>-4</v>
      </c>
      <c r="B6" s="14">
        <v>6</v>
      </c>
      <c r="C6" s="14">
        <v>-1</v>
      </c>
      <c r="D6" s="3">
        <f t="shared" si="0"/>
        <v>0.99999627231060328</v>
      </c>
      <c r="E6" s="5">
        <v>2.7777622457386245E-2</v>
      </c>
      <c r="F6">
        <f>IF(E6&gt;0.0001,SUMPRODUCT($I$3:$J$3,A6:B6)-C6,"")</f>
        <v>-1.1666205673490704</v>
      </c>
      <c r="G6">
        <f t="shared" si="1"/>
        <v>-1</v>
      </c>
      <c r="N6" s="10"/>
    </row>
    <row r="7" spans="1:15" x14ac:dyDescent="0.25">
      <c r="A7" s="1">
        <v>2</v>
      </c>
      <c r="B7" s="1">
        <v>1</v>
      </c>
      <c r="C7" s="1">
        <v>1</v>
      </c>
      <c r="D7" s="3">
        <f t="shared" si="0"/>
        <v>1.2499628264651352</v>
      </c>
      <c r="E7" s="5">
        <v>0</v>
      </c>
      <c r="F7" t="str">
        <f>IF(E7&gt;0.0001,SUMPRODUCT($I$3:$J$3,A7:B7)-C7,"")</f>
        <v/>
      </c>
      <c r="G7">
        <f t="shared" si="1"/>
        <v>1</v>
      </c>
    </row>
    <row r="8" spans="1:15" x14ac:dyDescent="0.25">
      <c r="A8" s="1">
        <v>5</v>
      </c>
      <c r="B8" s="1">
        <v>3</v>
      </c>
      <c r="C8" s="1">
        <v>1</v>
      </c>
      <c r="D8" s="3">
        <f t="shared" si="0"/>
        <v>1.2499741545741543</v>
      </c>
      <c r="E8" s="5">
        <v>0</v>
      </c>
      <c r="F8" t="str">
        <f>IF(E8&gt;0.0001,SUMPRODUCT($I$3:$J$3,A8:B8)-C8,"")</f>
        <v/>
      </c>
      <c r="G8">
        <f t="shared" si="1"/>
        <v>1</v>
      </c>
      <c r="N8" s="15" t="s">
        <v>11</v>
      </c>
      <c r="O8" s="16"/>
    </row>
    <row r="9" spans="1:15" x14ac:dyDescent="0.25">
      <c r="A9" s="1">
        <v>-6</v>
      </c>
      <c r="B9" s="1">
        <v>7</v>
      </c>
      <c r="C9" s="1">
        <v>-1</v>
      </c>
      <c r="D9" s="3">
        <f t="shared" si="0"/>
        <v>1.5833206798612052</v>
      </c>
      <c r="E9" s="5">
        <v>0</v>
      </c>
      <c r="F9" t="str">
        <f>IF(E9&gt;0.0001,SUMPRODUCT($I$3:$J$3,A9:B9)-C9,"")</f>
        <v/>
      </c>
      <c r="G9">
        <f t="shared" si="1"/>
        <v>-1</v>
      </c>
      <c r="N9" s="11" t="s">
        <v>12</v>
      </c>
      <c r="O9" s="12">
        <f>(O10+SUMPRODUCT(C2:C10,G2:G10))/(2*O10)</f>
        <v>1</v>
      </c>
    </row>
    <row r="10" spans="1:15" x14ac:dyDescent="0.25">
      <c r="A10" s="1">
        <v>-7</v>
      </c>
      <c r="B10" s="1">
        <v>9</v>
      </c>
      <c r="C10" s="1">
        <v>-1</v>
      </c>
      <c r="D10" s="3">
        <f t="shared" si="0"/>
        <v>2.2499722907294561</v>
      </c>
      <c r="E10" s="5">
        <v>0</v>
      </c>
      <c r="F10" t="str">
        <f>IF(E10&gt;0.0001,SUMPRODUCT($I$3:$J$3,A10:B10)-C10,"")</f>
        <v/>
      </c>
      <c r="G10">
        <f t="shared" si="1"/>
        <v>-1</v>
      </c>
      <c r="N10" t="s">
        <v>15</v>
      </c>
      <c r="O10">
        <v>9</v>
      </c>
    </row>
    <row r="17" spans="3:5" x14ac:dyDescent="0.25">
      <c r="C17">
        <v>0</v>
      </c>
      <c r="D17">
        <f t="shared" ref="D17:D27" si="2">((1+$K$3)-$J$3*C17)/$I$3</f>
        <v>-0.99975136037462076</v>
      </c>
      <c r="E17">
        <f t="shared" ref="E17:E27" si="3">((-1+$K$3)-$J$3*C17)/$I$3</f>
        <v>-12.999818459158947</v>
      </c>
    </row>
    <row r="18" spans="3:5" x14ac:dyDescent="0.25">
      <c r="C18">
        <v>1</v>
      </c>
      <c r="D18">
        <f t="shared" si="2"/>
        <v>0.50021465510829677</v>
      </c>
      <c r="E18">
        <f t="shared" si="3"/>
        <v>-11.49985244367603</v>
      </c>
    </row>
    <row r="19" spans="3:5" x14ac:dyDescent="0.25">
      <c r="C19">
        <v>2</v>
      </c>
      <c r="D19">
        <f t="shared" si="2"/>
        <v>2.0001806705912144</v>
      </c>
      <c r="E19">
        <f t="shared" si="3"/>
        <v>-9.9998864281931112</v>
      </c>
    </row>
    <row r="20" spans="3:5" x14ac:dyDescent="0.25">
      <c r="C20">
        <v>3</v>
      </c>
      <c r="D20">
        <f t="shared" si="2"/>
        <v>3.5001466860741317</v>
      </c>
      <c r="E20">
        <f t="shared" si="3"/>
        <v>-8.4999204127101962</v>
      </c>
    </row>
    <row r="21" spans="3:5" x14ac:dyDescent="0.25">
      <c r="C21">
        <v>4</v>
      </c>
      <c r="D21">
        <f t="shared" si="2"/>
        <v>5.0001127015570495</v>
      </c>
      <c r="E21">
        <f t="shared" si="3"/>
        <v>-6.9999543972272766</v>
      </c>
    </row>
    <row r="22" spans="3:5" x14ac:dyDescent="0.25">
      <c r="C22">
        <v>5</v>
      </c>
      <c r="D22">
        <f t="shared" si="2"/>
        <v>6.5000787170399663</v>
      </c>
      <c r="E22">
        <f t="shared" si="3"/>
        <v>-5.4999883817443607</v>
      </c>
    </row>
    <row r="23" spans="3:5" x14ac:dyDescent="0.25">
      <c r="C23">
        <v>6</v>
      </c>
      <c r="D23">
        <f t="shared" si="2"/>
        <v>8.0000447325228841</v>
      </c>
      <c r="E23">
        <f t="shared" si="3"/>
        <v>-4.0000223662614429</v>
      </c>
    </row>
    <row r="24" spans="3:5" x14ac:dyDescent="0.25">
      <c r="C24">
        <v>7</v>
      </c>
      <c r="D24">
        <f t="shared" si="2"/>
        <v>9.5000107480058009</v>
      </c>
      <c r="E24">
        <f t="shared" si="3"/>
        <v>-2.5000563507785252</v>
      </c>
    </row>
    <row r="25" spans="3:5" x14ac:dyDescent="0.25">
      <c r="C25">
        <v>8</v>
      </c>
      <c r="D25">
        <f t="shared" si="2"/>
        <v>10.99997676348872</v>
      </c>
      <c r="E25">
        <f t="shared" si="3"/>
        <v>-1.0000903352956072</v>
      </c>
    </row>
    <row r="26" spans="3:5" x14ac:dyDescent="0.25">
      <c r="C26">
        <v>9</v>
      </c>
      <c r="D26">
        <f t="shared" si="2"/>
        <v>12.499942778971636</v>
      </c>
      <c r="E26">
        <f t="shared" si="3"/>
        <v>0.49987568018731038</v>
      </c>
    </row>
    <row r="27" spans="3:5" x14ac:dyDescent="0.25">
      <c r="C27">
        <v>10</v>
      </c>
      <c r="D27">
        <f t="shared" si="2"/>
        <v>13.999908794454553</v>
      </c>
      <c r="E27">
        <f t="shared" si="3"/>
        <v>1.9998416956702267</v>
      </c>
    </row>
  </sheetData>
  <mergeCells count="1">
    <mergeCell ref="N8:O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7"/>
  <sheetViews>
    <sheetView tabSelected="1" workbookViewId="0">
      <selection activeCell="N6" sqref="N6"/>
    </sheetView>
  </sheetViews>
  <sheetFormatPr baseColWidth="10" defaultRowHeight="15" x14ac:dyDescent="0.25"/>
  <cols>
    <col min="14" max="14" width="11.42578125" customWidth="1"/>
  </cols>
  <sheetData>
    <row r="1" spans="1:15" x14ac:dyDescent="0.25">
      <c r="A1" s="2" t="s">
        <v>5</v>
      </c>
      <c r="B1" s="2" t="s">
        <v>3</v>
      </c>
      <c r="C1" s="2" t="s">
        <v>4</v>
      </c>
      <c r="D1" s="2" t="s">
        <v>6</v>
      </c>
      <c r="E1" s="6" t="s">
        <v>7</v>
      </c>
      <c r="F1" s="6" t="s">
        <v>8</v>
      </c>
      <c r="G1" s="6" t="s">
        <v>13</v>
      </c>
      <c r="H1" s="4"/>
    </row>
    <row r="2" spans="1:15" ht="25.5" x14ac:dyDescent="0.25">
      <c r="A2" s="14">
        <v>2</v>
      </c>
      <c r="B2" s="14">
        <v>2</v>
      </c>
      <c r="C2" s="14">
        <v>1</v>
      </c>
      <c r="D2" s="3">
        <f>C2*(SUMPRODUCT(A2:B2,$I$3:$J$3)-$K$3)</f>
        <v>0.8026693594835641</v>
      </c>
      <c r="E2" s="5">
        <v>0.02</v>
      </c>
      <c r="F2">
        <f>IF(E2&gt;0.0001,SUMPRODUCT($I$3:$J$3,A2:B2)-C2,"")</f>
        <v>-1.1415558027525814</v>
      </c>
      <c r="G2">
        <f>IF(SUMPRODUCT($I$3:$J$3,A2:B2)-$K$3&gt;0,1,-1)</f>
        <v>1</v>
      </c>
      <c r="I2" s="7" t="s">
        <v>0</v>
      </c>
      <c r="J2" s="7" t="s">
        <v>1</v>
      </c>
      <c r="K2" s="7" t="s">
        <v>2</v>
      </c>
      <c r="N2" s="13" t="s">
        <v>9</v>
      </c>
      <c r="O2" s="9">
        <f>SUM(E2:E10)-0.5*multiplica(E2:E10,C2:C10,A2:B10)</f>
        <v>4.013421590705836E-2</v>
      </c>
    </row>
    <row r="3" spans="1:15" x14ac:dyDescent="0.25">
      <c r="A3" s="1">
        <v>3</v>
      </c>
      <c r="B3" s="1">
        <v>2</v>
      </c>
      <c r="C3" s="1">
        <v>1</v>
      </c>
      <c r="D3" s="3">
        <f>C3*(SUMPRODUCT(A3:B3,$I$3:$J$3)-$K$3)</f>
        <v>0.94314659808255674</v>
      </c>
      <c r="E3" s="5">
        <v>1.5394915483715474E-3</v>
      </c>
      <c r="F3">
        <f t="shared" ref="F3:F10" si="0">IF(E3&gt;0.0001,SUMPRODUCT($I$3:$J$3,A3:B3)-C3,"")</f>
        <v>-1.0010785641535889</v>
      </c>
      <c r="G3">
        <f t="shared" ref="G3:G10" si="1">IF(SUMPRODUCT($I$3:$J$3,A3:B3)-$K$3&gt;0,1,-1)</f>
        <v>1</v>
      </c>
      <c r="I3" s="7">
        <f>SUMPRODUCT(A2:A10,$C$2:$C$10,$E$2:$E$10)</f>
        <v>0.14047723859899255</v>
      </c>
      <c r="J3" s="7">
        <f>SUMPRODUCT(B2:B10,$C$2:$C$10,$E$2:$E$10)</f>
        <v>-0.21125513997528328</v>
      </c>
      <c r="K3" s="7">
        <f>AVERAGE(F2:F10)</f>
        <v>-0.94422516223614561</v>
      </c>
      <c r="N3" s="8" t="s">
        <v>10</v>
      </c>
      <c r="O3" s="9">
        <f>SUMPRODUCT(E2:E10,C2:C10)</f>
        <v>2.4891720629138803E-13</v>
      </c>
    </row>
    <row r="4" spans="1:15" x14ac:dyDescent="0.25">
      <c r="A4" s="1">
        <v>4</v>
      </c>
      <c r="B4" s="1">
        <v>2</v>
      </c>
      <c r="C4" s="1">
        <v>1</v>
      </c>
      <c r="D4" s="3">
        <f>C4*(SUMPRODUCT(A4:B4,$I$3:$J$3)-$K$3)</f>
        <v>1.0836238366815492</v>
      </c>
      <c r="E4" s="5">
        <v>0</v>
      </c>
      <c r="F4" t="str">
        <f t="shared" si="0"/>
        <v/>
      </c>
      <c r="G4">
        <f t="shared" si="1"/>
        <v>1</v>
      </c>
      <c r="N4" s="8" t="s">
        <v>14</v>
      </c>
      <c r="O4" s="9">
        <v>0.02</v>
      </c>
    </row>
    <row r="5" spans="1:15" x14ac:dyDescent="0.25">
      <c r="A5" s="14">
        <v>2</v>
      </c>
      <c r="B5" s="14">
        <v>10</v>
      </c>
      <c r="C5" s="14">
        <v>-1</v>
      </c>
      <c r="D5" s="3">
        <f>C5*(SUMPRODUCT(A5:B5,$I$3:$J$3)-$K$3)</f>
        <v>0.88737176031870224</v>
      </c>
      <c r="E5" s="5">
        <v>1.6157755135998431E-2</v>
      </c>
      <c r="F5">
        <f t="shared" si="0"/>
        <v>-0.83159692255484785</v>
      </c>
      <c r="G5">
        <f t="shared" si="1"/>
        <v>-1</v>
      </c>
    </row>
    <row r="6" spans="1:15" x14ac:dyDescent="0.25">
      <c r="A6" s="14">
        <v>-4</v>
      </c>
      <c r="B6" s="14">
        <v>6</v>
      </c>
      <c r="C6" s="14">
        <v>-1</v>
      </c>
      <c r="D6" s="3">
        <f>C6*(SUMPRODUCT(A6:B6,$I$3:$J$3)-$K$3)</f>
        <v>0.88521463201152406</v>
      </c>
      <c r="E6" s="5">
        <v>0.02</v>
      </c>
      <c r="F6">
        <f t="shared" si="0"/>
        <v>-0.82943979424766967</v>
      </c>
      <c r="G6">
        <f t="shared" si="1"/>
        <v>-1</v>
      </c>
      <c r="N6" s="10"/>
    </row>
    <row r="7" spans="1:15" x14ac:dyDescent="0.25">
      <c r="A7" s="1">
        <v>2</v>
      </c>
      <c r="B7" s="1">
        <v>1</v>
      </c>
      <c r="C7" s="1">
        <v>1</v>
      </c>
      <c r="D7" s="3">
        <f>C7*(SUMPRODUCT(A7:B7,$I$3:$J$3)-$K$3)</f>
        <v>1.0139244994588474</v>
      </c>
      <c r="E7" s="5">
        <v>8.3056812378347368E-3</v>
      </c>
      <c r="F7">
        <f t="shared" si="0"/>
        <v>-0.93030066277729817</v>
      </c>
      <c r="G7">
        <f t="shared" si="1"/>
        <v>1</v>
      </c>
    </row>
    <row r="8" spans="1:15" x14ac:dyDescent="0.25">
      <c r="A8" s="1">
        <v>5</v>
      </c>
      <c r="B8" s="1">
        <v>3</v>
      </c>
      <c r="C8" s="1">
        <v>1</v>
      </c>
      <c r="D8" s="3">
        <f>C8*(SUMPRODUCT(A8:B8,$I$3:$J$3)-$K$3)</f>
        <v>1.0128459353052586</v>
      </c>
      <c r="E8" s="5">
        <v>6.3125823500410645E-3</v>
      </c>
      <c r="F8">
        <f t="shared" si="0"/>
        <v>-0.93137922693088704</v>
      </c>
      <c r="G8">
        <f t="shared" si="1"/>
        <v>1</v>
      </c>
      <c r="N8" s="15" t="s">
        <v>11</v>
      </c>
      <c r="O8" s="16"/>
    </row>
    <row r="9" spans="1:15" x14ac:dyDescent="0.25">
      <c r="A9" s="1">
        <v>-6</v>
      </c>
      <c r="B9" s="1">
        <v>7</v>
      </c>
      <c r="C9" s="1">
        <v>-1</v>
      </c>
      <c r="D9" s="3">
        <f>C9*(SUMPRODUCT(A9:B9,$I$3:$J$3)-$K$3)</f>
        <v>1.3774242491847923</v>
      </c>
      <c r="E9" s="5">
        <v>0</v>
      </c>
      <c r="F9" t="str">
        <f t="shared" si="0"/>
        <v/>
      </c>
      <c r="G9">
        <f t="shared" si="1"/>
        <v>-1</v>
      </c>
      <c r="N9" s="11" t="s">
        <v>12</v>
      </c>
      <c r="O9" s="12">
        <f>(O10+SUMPRODUCT(C2:C10,G2:G10))/(2*O10)</f>
        <v>1</v>
      </c>
    </row>
    <row r="10" spans="1:15" x14ac:dyDescent="0.25">
      <c r="A10" s="1">
        <v>-7</v>
      </c>
      <c r="B10" s="1">
        <v>9</v>
      </c>
      <c r="C10" s="1">
        <v>-1</v>
      </c>
      <c r="D10" s="3">
        <f>C10*(SUMPRODUCT(A10:B10,$I$3:$J$3)-$K$3)</f>
        <v>1.9404117677343518</v>
      </c>
      <c r="E10" s="5">
        <v>0</v>
      </c>
      <c r="F10" t="str">
        <f t="shared" si="0"/>
        <v/>
      </c>
      <c r="G10">
        <f t="shared" si="1"/>
        <v>-1</v>
      </c>
      <c r="N10" t="s">
        <v>15</v>
      </c>
      <c r="O10">
        <v>9</v>
      </c>
    </row>
    <row r="17" spans="3:5" x14ac:dyDescent="0.25">
      <c r="C17">
        <v>0</v>
      </c>
      <c r="D17">
        <f t="shared" ref="D17:D27" si="2">((1+$K$3)-$J$3*C17)/$I$3</f>
        <v>0.39703825559291983</v>
      </c>
      <c r="E17">
        <f t="shared" ref="E17:E27" si="3">((-1+$K$3)-$J$3*C17)/$I$3</f>
        <v>-13.840143653351177</v>
      </c>
    </row>
    <row r="18" spans="3:5" x14ac:dyDescent="0.25">
      <c r="C18">
        <v>1</v>
      </c>
      <c r="D18">
        <f t="shared" si="2"/>
        <v>1.9008771841066976</v>
      </c>
      <c r="E18">
        <f t="shared" si="3"/>
        <v>-12.336304724837399</v>
      </c>
    </row>
    <row r="19" spans="3:5" x14ac:dyDescent="0.25">
      <c r="C19">
        <v>2</v>
      </c>
      <c r="D19">
        <f t="shared" si="2"/>
        <v>3.4047161126204757</v>
      </c>
      <c r="E19">
        <f t="shared" si="3"/>
        <v>-10.83246579632362</v>
      </c>
    </row>
    <row r="20" spans="3:5" x14ac:dyDescent="0.25">
      <c r="C20">
        <v>3</v>
      </c>
      <c r="D20">
        <f t="shared" si="2"/>
        <v>4.9085550411342531</v>
      </c>
      <c r="E20">
        <f t="shared" si="3"/>
        <v>-9.3286268678098434</v>
      </c>
    </row>
    <row r="21" spans="3:5" x14ac:dyDescent="0.25">
      <c r="C21">
        <v>4</v>
      </c>
      <c r="D21">
        <f t="shared" si="2"/>
        <v>6.412393969648031</v>
      </c>
      <c r="E21">
        <f t="shared" si="3"/>
        <v>-7.8247879392960655</v>
      </c>
    </row>
    <row r="22" spans="3:5" x14ac:dyDescent="0.25">
      <c r="C22">
        <v>5</v>
      </c>
      <c r="D22">
        <f t="shared" si="2"/>
        <v>7.9162328981618106</v>
      </c>
      <c r="E22">
        <f t="shared" si="3"/>
        <v>-6.3209490107822868</v>
      </c>
    </row>
    <row r="23" spans="3:5" x14ac:dyDescent="0.25">
      <c r="C23">
        <v>6</v>
      </c>
      <c r="D23">
        <f t="shared" si="2"/>
        <v>9.420071826675585</v>
      </c>
      <c r="E23">
        <f t="shared" si="3"/>
        <v>-4.8171100822685098</v>
      </c>
    </row>
    <row r="24" spans="3:5" x14ac:dyDescent="0.25">
      <c r="C24">
        <v>7</v>
      </c>
      <c r="D24">
        <f t="shared" si="2"/>
        <v>10.923910755189363</v>
      </c>
      <c r="E24">
        <f t="shared" si="3"/>
        <v>-3.3132711537547319</v>
      </c>
    </row>
    <row r="25" spans="3:5" x14ac:dyDescent="0.25">
      <c r="C25">
        <v>8</v>
      </c>
      <c r="D25">
        <f t="shared" si="2"/>
        <v>12.427749683703142</v>
      </c>
      <c r="E25">
        <f t="shared" si="3"/>
        <v>-1.8094322252409536</v>
      </c>
    </row>
    <row r="26" spans="3:5" x14ac:dyDescent="0.25">
      <c r="C26">
        <v>9</v>
      </c>
      <c r="D26">
        <f t="shared" si="2"/>
        <v>13.93158861221692</v>
      </c>
      <c r="E26">
        <f t="shared" si="3"/>
        <v>-0.30559329672717545</v>
      </c>
    </row>
    <row r="27" spans="3:5" x14ac:dyDescent="0.25">
      <c r="C27">
        <v>10</v>
      </c>
      <c r="D27">
        <f t="shared" si="2"/>
        <v>15.435427540730698</v>
      </c>
      <c r="E27">
        <f t="shared" si="3"/>
        <v>1.1982456317866028</v>
      </c>
    </row>
  </sheetData>
  <mergeCells count="1">
    <mergeCell ref="N8:O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ejemplo simple</vt:lpstr>
      <vt:lpstr>soft margin</vt:lpstr>
    </vt:vector>
  </TitlesOfParts>
  <Company>BIOCAPUSLACORP.3047.DC®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ANFI</dc:creator>
  <cp:lastModifiedBy>Lenovo</cp:lastModifiedBy>
  <dcterms:created xsi:type="dcterms:W3CDTF">2014-09-29T19:20:41Z</dcterms:created>
  <dcterms:modified xsi:type="dcterms:W3CDTF">2014-10-02T01:50:17Z</dcterms:modified>
</cp:coreProperties>
</file>