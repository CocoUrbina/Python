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autoCompressPictures="0"/>
  <bookViews>
    <workbookView xWindow="240" yWindow="105" windowWidth="20730" windowHeight="11760" tabRatio="788" activeTab="1"/>
  </bookViews>
  <sheets>
    <sheet name="entrenamiento" sheetId="1" r:id="rId1"/>
    <sheet name="prueba" sheetId="2" r:id="rId2"/>
    <sheet name="simple" sheetId="4" r:id="rId3"/>
    <sheet name="ridge" sheetId="5" r:id="rId4"/>
    <sheet name="lasso" sheetId="6" r:id="rId5"/>
    <sheet name="elastic-net" sheetId="8" r:id="rId6"/>
    <sheet name="simple sin FTSE" sheetId="9" r:id="rId7"/>
  </sheets>
  <functionGroups builtInGroupCount="17"/>
  <definedNames>
    <definedName name="solver_adj" localSheetId="0" hidden="1">entrenamiento!$U$40:$Y$40,entrenamiento!$R$40:$S$40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entrenamiento!$R$32:$Y$32</definedName>
    <definedName name="solver_lhs2" localSheetId="0" hidden="1">entrenamiento!$R$32:$Y$32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entrenamiento!$T$42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3</definedName>
    <definedName name="solver_rhs1" localSheetId="0" hidden="1">-1</definedName>
    <definedName name="solver_rhs2" localSheetId="0" hidden="1">-1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T42" i="2" l="1"/>
  <c r="T12" i="2"/>
  <c r="T44" i="2"/>
  <c r="T36" i="2"/>
  <c r="T28" i="2"/>
  <c r="T20" i="2"/>
  <c r="Y40" i="2"/>
  <c r="X40" i="2"/>
  <c r="W40" i="2"/>
  <c r="V40" i="2"/>
  <c r="U40" i="2"/>
  <c r="T40" i="2"/>
  <c r="S40" i="2"/>
  <c r="R40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3" i="2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3" i="1"/>
  <c r="AH32" i="1"/>
  <c r="AG32" i="1"/>
  <c r="AF32" i="1"/>
  <c r="AE32" i="1"/>
  <c r="AD32" i="1"/>
  <c r="AC32" i="1"/>
  <c r="AB32" i="1"/>
  <c r="AA32" i="1"/>
  <c r="AH24" i="1"/>
  <c r="AG24" i="1"/>
  <c r="AF24" i="1"/>
  <c r="AE24" i="1"/>
  <c r="AD24" i="1"/>
  <c r="AC24" i="1"/>
  <c r="AB24" i="1"/>
  <c r="AA24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3" i="1"/>
  <c r="T18" i="1"/>
  <c r="M288" i="1"/>
  <c r="L288" i="1"/>
  <c r="M287" i="1"/>
  <c r="L287" i="1"/>
  <c r="M286" i="1"/>
  <c r="L286" i="1"/>
  <c r="M285" i="1"/>
  <c r="L285" i="1"/>
  <c r="M284" i="1"/>
  <c r="L284" i="1"/>
  <c r="M283" i="1"/>
  <c r="L283" i="1"/>
  <c r="M282" i="1"/>
  <c r="L282" i="1"/>
  <c r="M281" i="1"/>
  <c r="L281" i="1"/>
  <c r="M280" i="1"/>
  <c r="L280" i="1"/>
  <c r="M279" i="1"/>
  <c r="L279" i="1"/>
  <c r="M278" i="1"/>
  <c r="L278" i="1"/>
  <c r="M277" i="1"/>
  <c r="L277" i="1"/>
  <c r="M276" i="1"/>
  <c r="L276" i="1"/>
  <c r="M275" i="1"/>
  <c r="L275" i="1"/>
  <c r="M274" i="1"/>
  <c r="L274" i="1"/>
  <c r="M273" i="1"/>
  <c r="L273" i="1"/>
  <c r="M272" i="1"/>
  <c r="L272" i="1"/>
  <c r="M271" i="1"/>
  <c r="L271" i="1"/>
  <c r="M270" i="1"/>
  <c r="L270" i="1"/>
  <c r="M269" i="1"/>
  <c r="L269" i="1"/>
  <c r="M268" i="1"/>
  <c r="L268" i="1"/>
  <c r="M267" i="1"/>
  <c r="L267" i="1"/>
  <c r="M266" i="1"/>
  <c r="L266" i="1"/>
  <c r="M265" i="1"/>
  <c r="L265" i="1"/>
  <c r="M264" i="1"/>
  <c r="L264" i="1"/>
  <c r="M263" i="1"/>
  <c r="L263" i="1"/>
  <c r="M262" i="1"/>
  <c r="L262" i="1"/>
  <c r="M261" i="1"/>
  <c r="L261" i="1"/>
  <c r="M260" i="1"/>
  <c r="L260" i="1"/>
  <c r="M259" i="1"/>
  <c r="L259" i="1"/>
  <c r="M258" i="1"/>
  <c r="L258" i="1"/>
  <c r="M257" i="1"/>
  <c r="L257" i="1"/>
  <c r="M256" i="1"/>
  <c r="L256" i="1"/>
  <c r="M255" i="1"/>
  <c r="L255" i="1"/>
  <c r="M254" i="1"/>
  <c r="L254" i="1"/>
  <c r="M253" i="1"/>
  <c r="L253" i="1"/>
  <c r="M252" i="1"/>
  <c r="L252" i="1"/>
  <c r="M251" i="1"/>
  <c r="L251" i="1"/>
  <c r="M250" i="1"/>
  <c r="L250" i="1"/>
  <c r="M249" i="1"/>
  <c r="L249" i="1"/>
  <c r="M248" i="1"/>
  <c r="L248" i="1"/>
  <c r="M247" i="1"/>
  <c r="L247" i="1"/>
  <c r="M246" i="1"/>
  <c r="L246" i="1"/>
  <c r="M245" i="1"/>
  <c r="L245" i="1"/>
  <c r="M244" i="1"/>
  <c r="L244" i="1"/>
  <c r="M243" i="1"/>
  <c r="L243" i="1"/>
  <c r="M242" i="1"/>
  <c r="L242" i="1"/>
  <c r="M241" i="1"/>
  <c r="L241" i="1"/>
  <c r="M240" i="1"/>
  <c r="L240" i="1"/>
  <c r="M239" i="1"/>
  <c r="L239" i="1"/>
  <c r="M238" i="1"/>
  <c r="L238" i="1"/>
  <c r="M237" i="1"/>
  <c r="L237" i="1"/>
  <c r="M236" i="1"/>
  <c r="L236" i="1"/>
  <c r="M235" i="1"/>
  <c r="L235" i="1"/>
  <c r="M234" i="1"/>
  <c r="L234" i="1"/>
  <c r="M233" i="1"/>
  <c r="L233" i="1"/>
  <c r="M232" i="1"/>
  <c r="L232" i="1"/>
  <c r="M231" i="1"/>
  <c r="L231" i="1"/>
  <c r="M230" i="1"/>
  <c r="L230" i="1"/>
  <c r="M229" i="1"/>
  <c r="L229" i="1"/>
  <c r="M228" i="1"/>
  <c r="L228" i="1"/>
  <c r="M227" i="1"/>
  <c r="L227" i="1"/>
  <c r="M226" i="1"/>
  <c r="L226" i="1"/>
  <c r="M225" i="1"/>
  <c r="L225" i="1"/>
  <c r="M224" i="1"/>
  <c r="L224" i="1"/>
  <c r="M223" i="1"/>
  <c r="L223" i="1"/>
  <c r="M222" i="1"/>
  <c r="L222" i="1"/>
  <c r="M221" i="1"/>
  <c r="L221" i="1"/>
  <c r="M220" i="1"/>
  <c r="L220" i="1"/>
  <c r="M219" i="1"/>
  <c r="L219" i="1"/>
  <c r="M218" i="1"/>
  <c r="L218" i="1"/>
  <c r="M217" i="1"/>
  <c r="L217" i="1"/>
  <c r="M216" i="1"/>
  <c r="L216" i="1"/>
  <c r="M215" i="1"/>
  <c r="L215" i="1"/>
  <c r="M214" i="1"/>
  <c r="L214" i="1"/>
  <c r="M213" i="1"/>
  <c r="L213" i="1"/>
  <c r="M212" i="1"/>
  <c r="L212" i="1"/>
  <c r="M211" i="1"/>
  <c r="L211" i="1"/>
  <c r="M210" i="1"/>
  <c r="L210" i="1"/>
  <c r="M209" i="1"/>
  <c r="L209" i="1"/>
  <c r="M208" i="1"/>
  <c r="L208" i="1"/>
  <c r="M207" i="1"/>
  <c r="L207" i="1"/>
  <c r="M206" i="1"/>
  <c r="L206" i="1"/>
  <c r="M205" i="1"/>
  <c r="L205" i="1"/>
  <c r="M204" i="1"/>
  <c r="L204" i="1"/>
  <c r="M203" i="1"/>
  <c r="L203" i="1"/>
  <c r="M202" i="1"/>
  <c r="L202" i="1"/>
  <c r="M201" i="1"/>
  <c r="L201" i="1"/>
  <c r="M200" i="1"/>
  <c r="L200" i="1"/>
  <c r="M199" i="1"/>
  <c r="L199" i="1"/>
  <c r="M198" i="1"/>
  <c r="L198" i="1"/>
  <c r="M197" i="1"/>
  <c r="L197" i="1"/>
  <c r="M196" i="1"/>
  <c r="L196" i="1"/>
  <c r="M195" i="1"/>
  <c r="L195" i="1"/>
  <c r="M194" i="1"/>
  <c r="L194" i="1"/>
  <c r="M193" i="1"/>
  <c r="L193" i="1"/>
  <c r="M192" i="1"/>
  <c r="L192" i="1"/>
  <c r="M191" i="1"/>
  <c r="L191" i="1"/>
  <c r="M190" i="1"/>
  <c r="L190" i="1"/>
  <c r="M189" i="1"/>
  <c r="L189" i="1"/>
  <c r="M188" i="1"/>
  <c r="L188" i="1"/>
  <c r="M187" i="1"/>
  <c r="L187" i="1"/>
  <c r="M186" i="1"/>
  <c r="L186" i="1"/>
  <c r="M185" i="1"/>
  <c r="L185" i="1"/>
  <c r="M184" i="1"/>
  <c r="L184" i="1"/>
  <c r="M183" i="1"/>
  <c r="L183" i="1"/>
  <c r="M182" i="1"/>
  <c r="L182" i="1"/>
  <c r="M181" i="1"/>
  <c r="L181" i="1"/>
  <c r="M180" i="1"/>
  <c r="L180" i="1"/>
  <c r="M179" i="1"/>
  <c r="L179" i="1"/>
  <c r="M178" i="1"/>
  <c r="L178" i="1"/>
  <c r="M177" i="1"/>
  <c r="L177" i="1"/>
  <c r="M176" i="1"/>
  <c r="L176" i="1"/>
  <c r="M175" i="1"/>
  <c r="L175" i="1"/>
  <c r="M174" i="1"/>
  <c r="L174" i="1"/>
  <c r="M173" i="1"/>
  <c r="L173" i="1"/>
  <c r="M172" i="1"/>
  <c r="L172" i="1"/>
  <c r="M171" i="1"/>
  <c r="L171" i="1"/>
  <c r="M170" i="1"/>
  <c r="L170" i="1"/>
  <c r="M169" i="1"/>
  <c r="L169" i="1"/>
  <c r="M168" i="1"/>
  <c r="L168" i="1"/>
  <c r="M167" i="1"/>
  <c r="L167" i="1"/>
  <c r="M166" i="1"/>
  <c r="L166" i="1"/>
  <c r="M165" i="1"/>
  <c r="L165" i="1"/>
  <c r="M164" i="1"/>
  <c r="L164" i="1"/>
  <c r="M163" i="1"/>
  <c r="L163" i="1"/>
  <c r="M162" i="1"/>
  <c r="L162" i="1"/>
  <c r="M161" i="1"/>
  <c r="L161" i="1"/>
  <c r="M160" i="1"/>
  <c r="L160" i="1"/>
  <c r="M159" i="1"/>
  <c r="L159" i="1"/>
  <c r="M158" i="1"/>
  <c r="L158" i="1"/>
  <c r="M157" i="1"/>
  <c r="L157" i="1"/>
  <c r="M156" i="1"/>
  <c r="L156" i="1"/>
  <c r="M155" i="1"/>
  <c r="L155" i="1"/>
  <c r="M154" i="1"/>
  <c r="L154" i="1"/>
  <c r="M153" i="1"/>
  <c r="L153" i="1"/>
  <c r="M152" i="1"/>
  <c r="L152" i="1"/>
  <c r="M151" i="1"/>
  <c r="L151" i="1"/>
  <c r="M150" i="1"/>
  <c r="L150" i="1"/>
  <c r="M149" i="1"/>
  <c r="L149" i="1"/>
  <c r="M148" i="1"/>
  <c r="L148" i="1"/>
  <c r="M147" i="1"/>
  <c r="L147" i="1"/>
  <c r="M146" i="1"/>
  <c r="L146" i="1"/>
  <c r="M145" i="1"/>
  <c r="L145" i="1"/>
  <c r="M144" i="1"/>
  <c r="L144" i="1"/>
  <c r="M143" i="1"/>
  <c r="L143" i="1"/>
  <c r="M142" i="1"/>
  <c r="L142" i="1"/>
  <c r="M141" i="1"/>
  <c r="L141" i="1"/>
  <c r="M140" i="1"/>
  <c r="L140" i="1"/>
  <c r="M139" i="1"/>
  <c r="L139" i="1"/>
  <c r="M138" i="1"/>
  <c r="L138" i="1"/>
  <c r="M137" i="1"/>
  <c r="L137" i="1"/>
  <c r="M136" i="1"/>
  <c r="L136" i="1"/>
  <c r="M135" i="1"/>
  <c r="L135" i="1"/>
  <c r="M134" i="1"/>
  <c r="L134" i="1"/>
  <c r="M133" i="1"/>
  <c r="L133" i="1"/>
  <c r="M132" i="1"/>
  <c r="L132" i="1"/>
  <c r="M131" i="1"/>
  <c r="L131" i="1"/>
  <c r="M130" i="1"/>
  <c r="L130" i="1"/>
  <c r="M129" i="1"/>
  <c r="L129" i="1"/>
  <c r="M128" i="1"/>
  <c r="L128" i="1"/>
  <c r="M127" i="1"/>
  <c r="L127" i="1"/>
  <c r="M126" i="1"/>
  <c r="L126" i="1"/>
  <c r="M125" i="1"/>
  <c r="L125" i="1"/>
  <c r="M124" i="1"/>
  <c r="L124" i="1"/>
  <c r="M123" i="1"/>
  <c r="L123" i="1"/>
  <c r="M122" i="1"/>
  <c r="L122" i="1"/>
  <c r="M121" i="1"/>
  <c r="L121" i="1"/>
  <c r="M120" i="1"/>
  <c r="L120" i="1"/>
  <c r="M119" i="1"/>
  <c r="L119" i="1"/>
  <c r="M118" i="1"/>
  <c r="L118" i="1"/>
  <c r="M117" i="1"/>
  <c r="L117" i="1"/>
  <c r="M116" i="1"/>
  <c r="L116" i="1"/>
  <c r="M115" i="1"/>
  <c r="L115" i="1"/>
  <c r="M114" i="1"/>
  <c r="L114" i="1"/>
  <c r="M113" i="1"/>
  <c r="L113" i="1"/>
  <c r="M112" i="1"/>
  <c r="L112" i="1"/>
  <c r="M111" i="1"/>
  <c r="L111" i="1"/>
  <c r="M110" i="1"/>
  <c r="L110" i="1"/>
  <c r="M109" i="1"/>
  <c r="L109" i="1"/>
  <c r="M108" i="1"/>
  <c r="L108" i="1"/>
  <c r="M107" i="1"/>
  <c r="L107" i="1"/>
  <c r="M106" i="1"/>
  <c r="L106" i="1"/>
  <c r="M105" i="1"/>
  <c r="L105" i="1"/>
  <c r="M104" i="1"/>
  <c r="L104" i="1"/>
  <c r="M103" i="1"/>
  <c r="L103" i="1"/>
  <c r="M102" i="1"/>
  <c r="L102" i="1"/>
  <c r="M101" i="1"/>
  <c r="L101" i="1"/>
  <c r="M100" i="1"/>
  <c r="L100" i="1"/>
  <c r="M99" i="1"/>
  <c r="L99" i="1"/>
  <c r="M98" i="1"/>
  <c r="L98" i="1"/>
  <c r="M97" i="1"/>
  <c r="L97" i="1"/>
  <c r="M96" i="1"/>
  <c r="L96" i="1"/>
  <c r="M95" i="1"/>
  <c r="L95" i="1"/>
  <c r="M94" i="1"/>
  <c r="L94" i="1"/>
  <c r="M93" i="1"/>
  <c r="L93" i="1"/>
  <c r="M92" i="1"/>
  <c r="L92" i="1"/>
  <c r="M91" i="1"/>
  <c r="L91" i="1"/>
  <c r="M90" i="1"/>
  <c r="L90" i="1"/>
  <c r="M89" i="1"/>
  <c r="L89" i="1"/>
  <c r="M88" i="1"/>
  <c r="L88" i="1"/>
  <c r="M87" i="1"/>
  <c r="L87" i="1"/>
  <c r="M86" i="1"/>
  <c r="L86" i="1"/>
  <c r="M85" i="1"/>
  <c r="L85" i="1"/>
  <c r="M84" i="1"/>
  <c r="L84" i="1"/>
  <c r="M83" i="1"/>
  <c r="L83" i="1"/>
  <c r="M82" i="1"/>
  <c r="L82" i="1"/>
  <c r="M81" i="1"/>
  <c r="L81" i="1"/>
  <c r="M80" i="1"/>
  <c r="L80" i="1"/>
  <c r="M79" i="1"/>
  <c r="L79" i="1"/>
  <c r="M78" i="1"/>
  <c r="L78" i="1"/>
  <c r="M77" i="1"/>
  <c r="L77" i="1"/>
  <c r="M76" i="1"/>
  <c r="L76" i="1"/>
  <c r="M75" i="1"/>
  <c r="L75" i="1"/>
  <c r="M74" i="1"/>
  <c r="L74" i="1"/>
  <c r="M73" i="1"/>
  <c r="L73" i="1"/>
  <c r="M72" i="1"/>
  <c r="L72" i="1"/>
  <c r="M71" i="1"/>
  <c r="L71" i="1"/>
  <c r="M70" i="1"/>
  <c r="L70" i="1"/>
  <c r="M69" i="1"/>
  <c r="L69" i="1"/>
  <c r="M68" i="1"/>
  <c r="L68" i="1"/>
  <c r="M67" i="1"/>
  <c r="L67" i="1"/>
  <c r="M66" i="1"/>
  <c r="L66" i="1"/>
  <c r="M65" i="1"/>
  <c r="L65" i="1"/>
  <c r="M64" i="1"/>
  <c r="L64" i="1"/>
  <c r="M63" i="1"/>
  <c r="L63" i="1"/>
  <c r="M62" i="1"/>
  <c r="L62" i="1"/>
  <c r="M61" i="1"/>
  <c r="L61" i="1"/>
  <c r="M60" i="1"/>
  <c r="L60" i="1"/>
  <c r="M59" i="1"/>
  <c r="L59" i="1"/>
  <c r="M58" i="1"/>
  <c r="L58" i="1"/>
  <c r="M57" i="1"/>
  <c r="L57" i="1"/>
  <c r="M56" i="1"/>
  <c r="L56" i="1"/>
  <c r="M55" i="1"/>
  <c r="L55" i="1"/>
  <c r="M54" i="1"/>
  <c r="L54" i="1"/>
  <c r="M53" i="1"/>
  <c r="L53" i="1"/>
  <c r="M52" i="1"/>
  <c r="L52" i="1"/>
  <c r="M51" i="1"/>
  <c r="L51" i="1"/>
  <c r="M50" i="1"/>
  <c r="L50" i="1"/>
  <c r="M49" i="1"/>
  <c r="L49" i="1"/>
  <c r="M48" i="1"/>
  <c r="L48" i="1"/>
  <c r="M47" i="1"/>
  <c r="L47" i="1"/>
  <c r="M46" i="1"/>
  <c r="L46" i="1"/>
  <c r="M45" i="1"/>
  <c r="L45" i="1"/>
  <c r="M44" i="1"/>
  <c r="L44" i="1"/>
  <c r="M43" i="1"/>
  <c r="L43" i="1"/>
  <c r="M42" i="1"/>
  <c r="L42" i="1"/>
  <c r="M41" i="1"/>
  <c r="L41" i="1"/>
  <c r="M40" i="1"/>
  <c r="L40" i="1"/>
  <c r="M39" i="1"/>
  <c r="L39" i="1"/>
  <c r="M38" i="1"/>
  <c r="L38" i="1"/>
  <c r="M37" i="1"/>
  <c r="L37" i="1"/>
  <c r="M36" i="1"/>
  <c r="L36" i="1"/>
  <c r="M35" i="1"/>
  <c r="L35" i="1"/>
  <c r="M34" i="1"/>
  <c r="L34" i="1"/>
  <c r="M33" i="1"/>
  <c r="L33" i="1"/>
  <c r="M32" i="1"/>
  <c r="L32" i="1"/>
  <c r="M31" i="1"/>
  <c r="L31" i="1"/>
  <c r="M30" i="1"/>
  <c r="L30" i="1"/>
  <c r="M29" i="1"/>
  <c r="L29" i="1"/>
  <c r="M28" i="1"/>
  <c r="L28" i="1"/>
  <c r="M27" i="1"/>
  <c r="L27" i="1"/>
  <c r="M26" i="1"/>
  <c r="L26" i="1"/>
  <c r="M25" i="1"/>
  <c r="L25" i="1"/>
  <c r="M24" i="1"/>
  <c r="L24" i="1"/>
  <c r="M23" i="1"/>
  <c r="L23" i="1"/>
  <c r="M22" i="1"/>
  <c r="L22" i="1"/>
  <c r="M21" i="1"/>
  <c r="L21" i="1"/>
  <c r="M20" i="1"/>
  <c r="L20" i="1"/>
  <c r="M19" i="1"/>
  <c r="L19" i="1"/>
  <c r="M18" i="1"/>
  <c r="L18" i="1"/>
  <c r="M17" i="1"/>
  <c r="L17" i="1"/>
  <c r="M16" i="1"/>
  <c r="L16" i="1"/>
  <c r="M15" i="1"/>
  <c r="L15" i="1"/>
  <c r="M14" i="1"/>
  <c r="L14" i="1"/>
  <c r="M13" i="1"/>
  <c r="L13" i="1"/>
  <c r="M12" i="1"/>
  <c r="L12" i="1"/>
  <c r="M11" i="1"/>
  <c r="L11" i="1"/>
  <c r="M10" i="1"/>
  <c r="L10" i="1"/>
  <c r="M9" i="1"/>
  <c r="L9" i="1"/>
  <c r="M8" i="1"/>
  <c r="L8" i="1"/>
  <c r="M7" i="1"/>
  <c r="L7" i="1"/>
  <c r="M6" i="1"/>
  <c r="L6" i="1"/>
  <c r="M5" i="1"/>
  <c r="L5" i="1"/>
  <c r="M4" i="1"/>
  <c r="L4" i="1"/>
  <c r="L3" i="1"/>
  <c r="T10" i="1"/>
  <c r="Y32" i="2"/>
  <c r="X32" i="2"/>
  <c r="W32" i="2"/>
  <c r="V32" i="2"/>
  <c r="U32" i="2"/>
  <c r="T32" i="2"/>
  <c r="S32" i="2"/>
  <c r="R32" i="2"/>
  <c r="Y24" i="2"/>
  <c r="X24" i="2"/>
  <c r="W24" i="2"/>
  <c r="V24" i="2"/>
  <c r="U24" i="2"/>
  <c r="T24" i="2"/>
  <c r="S24" i="2"/>
  <c r="R24" i="2"/>
  <c r="Y16" i="2"/>
  <c r="X16" i="2"/>
  <c r="W16" i="2"/>
  <c r="V16" i="2"/>
  <c r="U16" i="2"/>
  <c r="T16" i="2"/>
  <c r="S16" i="2"/>
  <c r="R16" i="2"/>
  <c r="Y8" i="2"/>
  <c r="X8" i="2"/>
  <c r="W8" i="2"/>
  <c r="V8" i="2"/>
  <c r="U8" i="2"/>
  <c r="T8" i="2"/>
  <c r="S8" i="2"/>
  <c r="R8" i="2"/>
  <c r="M3" i="1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T18" i="2"/>
  <c r="T19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T10" i="2"/>
  <c r="T11" i="2"/>
  <c r="N3" i="2"/>
  <c r="N252" i="2"/>
  <c r="N251" i="2"/>
  <c r="N250" i="2"/>
  <c r="N249" i="2"/>
  <c r="N248" i="2"/>
  <c r="N247" i="2"/>
  <c r="N246" i="2"/>
  <c r="N245" i="2"/>
  <c r="N244" i="2"/>
  <c r="N243" i="2"/>
  <c r="N242" i="2"/>
  <c r="N241" i="2"/>
  <c r="N240" i="2"/>
  <c r="N239" i="2"/>
  <c r="N238" i="2"/>
  <c r="N237" i="2"/>
  <c r="N236" i="2"/>
  <c r="N235" i="2"/>
  <c r="N234" i="2"/>
  <c r="N233" i="2"/>
  <c r="N232" i="2"/>
  <c r="N231" i="2"/>
  <c r="N230" i="2"/>
  <c r="N229" i="2"/>
  <c r="N228" i="2"/>
  <c r="N227" i="2"/>
  <c r="N226" i="2"/>
  <c r="N225" i="2"/>
  <c r="N224" i="2"/>
  <c r="N223" i="2"/>
  <c r="N222" i="2"/>
  <c r="N221" i="2"/>
  <c r="N220" i="2"/>
  <c r="N219" i="2"/>
  <c r="N218" i="2"/>
  <c r="N217" i="2"/>
  <c r="N216" i="2"/>
  <c r="N215" i="2"/>
  <c r="N214" i="2"/>
  <c r="N213" i="2"/>
  <c r="N212" i="2"/>
  <c r="N211" i="2"/>
  <c r="N210" i="2"/>
  <c r="N209" i="2"/>
  <c r="N208" i="2"/>
  <c r="N207" i="2"/>
  <c r="N206" i="2"/>
  <c r="N205" i="2"/>
  <c r="N204" i="2"/>
  <c r="N203" i="2"/>
  <c r="N202" i="2"/>
  <c r="N201" i="2"/>
  <c r="N200" i="2"/>
  <c r="N199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80" i="2"/>
  <c r="N179" i="2"/>
  <c r="N178" i="2"/>
  <c r="N177" i="2"/>
  <c r="N176" i="2"/>
  <c r="N175" i="2"/>
  <c r="N174" i="2"/>
  <c r="N173" i="2"/>
  <c r="N172" i="2"/>
  <c r="N171" i="2"/>
  <c r="N170" i="2"/>
  <c r="N169" i="2"/>
  <c r="N168" i="2"/>
  <c r="N167" i="2"/>
  <c r="N166" i="2"/>
  <c r="N165" i="2"/>
  <c r="N164" i="2"/>
  <c r="N163" i="2"/>
  <c r="N162" i="2"/>
  <c r="N161" i="2"/>
  <c r="N160" i="2"/>
  <c r="N159" i="2"/>
  <c r="N158" i="2"/>
  <c r="N157" i="2"/>
  <c r="N156" i="2"/>
  <c r="N155" i="2"/>
  <c r="N154" i="2"/>
  <c r="N153" i="2"/>
  <c r="N152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N137" i="2"/>
  <c r="N136" i="2"/>
  <c r="N135" i="2"/>
  <c r="N134" i="2"/>
  <c r="N133" i="2"/>
  <c r="N132" i="2"/>
  <c r="N131" i="2"/>
  <c r="N130" i="2"/>
  <c r="N129" i="2"/>
  <c r="N128" i="2"/>
  <c r="N127" i="2"/>
  <c r="N126" i="2"/>
  <c r="N125" i="2"/>
  <c r="N124" i="2"/>
  <c r="N123" i="2"/>
  <c r="N122" i="2"/>
  <c r="N121" i="2"/>
  <c r="N120" i="2"/>
  <c r="N119" i="2"/>
  <c r="N118" i="2"/>
  <c r="N117" i="2"/>
  <c r="N116" i="2"/>
  <c r="N115" i="2"/>
  <c r="N114" i="2"/>
  <c r="N113" i="2"/>
  <c r="N112" i="2"/>
  <c r="N111" i="2"/>
  <c r="N110" i="2"/>
  <c r="N109" i="2"/>
  <c r="N108" i="2"/>
  <c r="N107" i="2"/>
  <c r="N106" i="2"/>
  <c r="N105" i="2"/>
  <c r="N104" i="2"/>
  <c r="N10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3" i="2"/>
  <c r="N82" i="2"/>
  <c r="N81" i="2"/>
  <c r="N80" i="2"/>
  <c r="N79" i="2"/>
  <c r="N78" i="2"/>
  <c r="N77" i="2"/>
  <c r="N76" i="2"/>
  <c r="N75" i="2"/>
  <c r="N74" i="2"/>
  <c r="N73" i="2"/>
  <c r="N72" i="2"/>
  <c r="N71" i="2"/>
  <c r="N70" i="2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N28" i="2"/>
  <c r="T26" i="2"/>
  <c r="T27" i="2"/>
  <c r="O3" i="2"/>
  <c r="O252" i="2"/>
  <c r="O251" i="2"/>
  <c r="O250" i="2"/>
  <c r="O249" i="2"/>
  <c r="O248" i="2"/>
  <c r="O247" i="2"/>
  <c r="O246" i="2"/>
  <c r="O245" i="2"/>
  <c r="O244" i="2"/>
  <c r="O243" i="2"/>
  <c r="O242" i="2"/>
  <c r="O241" i="2"/>
  <c r="O240" i="2"/>
  <c r="O239" i="2"/>
  <c r="O238" i="2"/>
  <c r="O237" i="2"/>
  <c r="O236" i="2"/>
  <c r="O235" i="2"/>
  <c r="O234" i="2"/>
  <c r="O233" i="2"/>
  <c r="O232" i="2"/>
  <c r="O231" i="2"/>
  <c r="O230" i="2"/>
  <c r="O229" i="2"/>
  <c r="O228" i="2"/>
  <c r="O227" i="2"/>
  <c r="O226" i="2"/>
  <c r="O225" i="2"/>
  <c r="O224" i="2"/>
  <c r="O223" i="2"/>
  <c r="O222" i="2"/>
  <c r="O221" i="2"/>
  <c r="O220" i="2"/>
  <c r="O219" i="2"/>
  <c r="O218" i="2"/>
  <c r="O217" i="2"/>
  <c r="O216" i="2"/>
  <c r="O215" i="2"/>
  <c r="O214" i="2"/>
  <c r="O213" i="2"/>
  <c r="O212" i="2"/>
  <c r="O211" i="2"/>
  <c r="O210" i="2"/>
  <c r="O209" i="2"/>
  <c r="O208" i="2"/>
  <c r="O207" i="2"/>
  <c r="O206" i="2"/>
  <c r="O205" i="2"/>
  <c r="O204" i="2"/>
  <c r="O203" i="2"/>
  <c r="O202" i="2"/>
  <c r="O201" i="2"/>
  <c r="O200" i="2"/>
  <c r="O199" i="2"/>
  <c r="O198" i="2"/>
  <c r="O197" i="2"/>
  <c r="O196" i="2"/>
  <c r="O195" i="2"/>
  <c r="O194" i="2"/>
  <c r="O193" i="2"/>
  <c r="O192" i="2"/>
  <c r="O191" i="2"/>
  <c r="O190" i="2"/>
  <c r="O189" i="2"/>
  <c r="O188" i="2"/>
  <c r="O187" i="2"/>
  <c r="O186" i="2"/>
  <c r="O185" i="2"/>
  <c r="O184" i="2"/>
  <c r="O183" i="2"/>
  <c r="O182" i="2"/>
  <c r="O181" i="2"/>
  <c r="O180" i="2"/>
  <c r="O179" i="2"/>
  <c r="O178" i="2"/>
  <c r="O177" i="2"/>
  <c r="O176" i="2"/>
  <c r="O175" i="2"/>
  <c r="O174" i="2"/>
  <c r="O173" i="2"/>
  <c r="O172" i="2"/>
  <c r="O171" i="2"/>
  <c r="O170" i="2"/>
  <c r="O169" i="2"/>
  <c r="O168" i="2"/>
  <c r="O167" i="2"/>
  <c r="O166" i="2"/>
  <c r="O165" i="2"/>
  <c r="O164" i="2"/>
  <c r="O163" i="2"/>
  <c r="O162" i="2"/>
  <c r="O161" i="2"/>
  <c r="O160" i="2"/>
  <c r="O159" i="2"/>
  <c r="O158" i="2"/>
  <c r="O157" i="2"/>
  <c r="O156" i="2"/>
  <c r="O155" i="2"/>
  <c r="O154" i="2"/>
  <c r="O153" i="2"/>
  <c r="O152" i="2"/>
  <c r="O151" i="2"/>
  <c r="O150" i="2"/>
  <c r="O149" i="2"/>
  <c r="O148" i="2"/>
  <c r="O147" i="2"/>
  <c r="O146" i="2"/>
  <c r="O145" i="2"/>
  <c r="O144" i="2"/>
  <c r="O143" i="2"/>
  <c r="O142" i="2"/>
  <c r="O141" i="2"/>
  <c r="O140" i="2"/>
  <c r="O139" i="2"/>
  <c r="O138" i="2"/>
  <c r="O137" i="2"/>
  <c r="O136" i="2"/>
  <c r="O135" i="2"/>
  <c r="O134" i="2"/>
  <c r="O133" i="2"/>
  <c r="O132" i="2"/>
  <c r="O131" i="2"/>
  <c r="O130" i="2"/>
  <c r="O129" i="2"/>
  <c r="O128" i="2"/>
  <c r="O127" i="2"/>
  <c r="O126" i="2"/>
  <c r="O125" i="2"/>
  <c r="O124" i="2"/>
  <c r="O123" i="2"/>
  <c r="O122" i="2"/>
  <c r="O121" i="2"/>
  <c r="O120" i="2"/>
  <c r="O119" i="2"/>
  <c r="O118" i="2"/>
  <c r="O117" i="2"/>
  <c r="O116" i="2"/>
  <c r="O115" i="2"/>
  <c r="O114" i="2"/>
  <c r="O113" i="2"/>
  <c r="O112" i="2"/>
  <c r="O111" i="2"/>
  <c r="O110" i="2"/>
  <c r="O109" i="2"/>
  <c r="O108" i="2"/>
  <c r="O107" i="2"/>
  <c r="O106" i="2"/>
  <c r="O105" i="2"/>
  <c r="O104" i="2"/>
  <c r="O103" i="2"/>
  <c r="O102" i="2"/>
  <c r="O101" i="2"/>
  <c r="O100" i="2"/>
  <c r="O99" i="2"/>
  <c r="O98" i="2"/>
  <c r="O97" i="2"/>
  <c r="O96" i="2"/>
  <c r="O95" i="2"/>
  <c r="O94" i="2"/>
  <c r="O93" i="2"/>
  <c r="O92" i="2"/>
  <c r="O91" i="2"/>
  <c r="O90" i="2"/>
  <c r="O89" i="2"/>
  <c r="O88" i="2"/>
  <c r="O87" i="2"/>
  <c r="O86" i="2"/>
  <c r="O85" i="2"/>
  <c r="O84" i="2"/>
  <c r="O83" i="2"/>
  <c r="O82" i="2"/>
  <c r="O81" i="2"/>
  <c r="O80" i="2"/>
  <c r="O79" i="2"/>
  <c r="O78" i="2"/>
  <c r="O77" i="2"/>
  <c r="O76" i="2"/>
  <c r="O75" i="2"/>
  <c r="O74" i="2"/>
  <c r="O73" i="2"/>
  <c r="O72" i="2"/>
  <c r="O71" i="2"/>
  <c r="O70" i="2"/>
  <c r="O69" i="2"/>
  <c r="O68" i="2"/>
  <c r="O67" i="2"/>
  <c r="O66" i="2"/>
  <c r="O65" i="2"/>
  <c r="O64" i="2"/>
  <c r="O63" i="2"/>
  <c r="O62" i="2"/>
  <c r="O61" i="2"/>
  <c r="O60" i="2"/>
  <c r="O59" i="2"/>
  <c r="O58" i="2"/>
  <c r="O57" i="2"/>
  <c r="O56" i="2"/>
  <c r="O55" i="2"/>
  <c r="O54" i="2"/>
  <c r="O53" i="2"/>
  <c r="O52" i="2"/>
  <c r="O51" i="2"/>
  <c r="O50" i="2"/>
  <c r="O49" i="2"/>
  <c r="O48" i="2"/>
  <c r="O47" i="2"/>
  <c r="O46" i="2"/>
  <c r="O45" i="2"/>
  <c r="O43" i="2"/>
  <c r="O42" i="2"/>
  <c r="O41" i="2"/>
  <c r="O40" i="2"/>
  <c r="O39" i="2"/>
  <c r="O38" i="2"/>
  <c r="O37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O12" i="2"/>
  <c r="O10" i="2"/>
  <c r="O9" i="2"/>
  <c r="O8" i="2"/>
  <c r="O7" i="2"/>
  <c r="O6" i="2"/>
  <c r="O5" i="2"/>
  <c r="O4" i="2"/>
  <c r="O36" i="2"/>
  <c r="T26" i="1"/>
  <c r="T34" i="1"/>
  <c r="O11" i="2"/>
  <c r="O44" i="2"/>
  <c r="T34" i="2"/>
  <c r="T35" i="2"/>
  <c r="T43" i="2"/>
  <c r="T42" i="1"/>
</calcChain>
</file>

<file path=xl/sharedStrings.xml><?xml version="1.0" encoding="utf-8"?>
<sst xmlns="http://schemas.openxmlformats.org/spreadsheetml/2006/main" count="169" uniqueCount="32">
  <si>
    <t>imkb_x</t>
  </si>
  <si>
    <t>date</t>
  </si>
  <si>
    <t>ISE</t>
  </si>
  <si>
    <t>SP</t>
  </si>
  <si>
    <t>DAX</t>
  </si>
  <si>
    <t>FTSE</t>
  </si>
  <si>
    <t>NIKKEI</t>
  </si>
  <si>
    <t>BOVESPA</t>
  </si>
  <si>
    <t>EU</t>
  </si>
  <si>
    <t>EM</t>
  </si>
  <si>
    <t>TL BASED</t>
  </si>
  <si>
    <t>USD BASED</t>
  </si>
  <si>
    <t>Regresion simple</t>
  </si>
  <si>
    <t>coef</t>
  </si>
  <si>
    <t>funcion objetivo</t>
  </si>
  <si>
    <t>simple</t>
  </si>
  <si>
    <t>ridge</t>
  </si>
  <si>
    <t>lasso</t>
  </si>
  <si>
    <t>elastic net</t>
  </si>
  <si>
    <t>Ridge</t>
  </si>
  <si>
    <t>Lasso</t>
  </si>
  <si>
    <t>Elastic net</t>
  </si>
  <si>
    <t>alpha</t>
  </si>
  <si>
    <t>error cuadratico</t>
  </si>
  <si>
    <t>maximo error</t>
  </si>
  <si>
    <t>errores cuadraticos</t>
  </si>
  <si>
    <t>error normalizado</t>
  </si>
  <si>
    <t>muestras</t>
  </si>
  <si>
    <t>rho</t>
  </si>
  <si>
    <t>Regresion simple eliminando FTSE</t>
  </si>
  <si>
    <t>sin FTSE</t>
  </si>
  <si>
    <t>simple sin FTSE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</si>
</sst>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11" fontId="0" fillId="0" borderId="0" xfId="0" applyNumberForma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/>
  </cellXfs>
  <cellStyles count="5">
    <cellStyle name="Hipervínculo" xfId="1" builtinId="8" hidden="1"/>
    <cellStyle name="Hipervínculo" xfId="3" builtinId="8" hidden="1"/>
    <cellStyle name="Hipervínculo visitado" xfId="2" builtinId="9" hidden="1"/>
    <cellStyle name="Hipervínculo visitado" xfId="4" builtinId="9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chartsheet" Target="chartsheets/sheet5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4.xml"/><Relationship Id="rId11" Type="http://schemas.openxmlformats.org/officeDocument/2006/relationships/calcChain" Target="calcChain.xml"/><Relationship Id="rId5" Type="http://schemas.openxmlformats.org/officeDocument/2006/relationships/chartsheet" Target="chartsheets/sheet3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prueba!$K$2</c:f>
              <c:strCache>
                <c:ptCount val="1"/>
                <c:pt idx="0">
                  <c:v>ISE</c:v>
                </c:pt>
              </c:strCache>
            </c:strRef>
          </c:tx>
          <c:marker>
            <c:symbol val="none"/>
          </c:marker>
          <c:cat>
            <c:numRef>
              <c:f>prueba!$A$3:$A$252</c:f>
              <c:numCache>
                <c:formatCode>[$-409]d\-mmm\-yy;@</c:formatCode>
                <c:ptCount val="250"/>
                <c:pt idx="0">
                  <c:v>40232</c:v>
                </c:pt>
                <c:pt idx="1">
                  <c:v>40233</c:v>
                </c:pt>
                <c:pt idx="2">
                  <c:v>40234</c:v>
                </c:pt>
                <c:pt idx="3">
                  <c:v>40235</c:v>
                </c:pt>
                <c:pt idx="4">
                  <c:v>40238</c:v>
                </c:pt>
                <c:pt idx="5">
                  <c:v>40239</c:v>
                </c:pt>
                <c:pt idx="6">
                  <c:v>40240</c:v>
                </c:pt>
                <c:pt idx="7">
                  <c:v>40241</c:v>
                </c:pt>
                <c:pt idx="8">
                  <c:v>40242</c:v>
                </c:pt>
                <c:pt idx="9">
                  <c:v>40245</c:v>
                </c:pt>
                <c:pt idx="10">
                  <c:v>40246</c:v>
                </c:pt>
                <c:pt idx="11">
                  <c:v>40247</c:v>
                </c:pt>
                <c:pt idx="12">
                  <c:v>40248</c:v>
                </c:pt>
                <c:pt idx="13">
                  <c:v>40249</c:v>
                </c:pt>
                <c:pt idx="14">
                  <c:v>40252</c:v>
                </c:pt>
                <c:pt idx="15">
                  <c:v>40253</c:v>
                </c:pt>
                <c:pt idx="16">
                  <c:v>40254</c:v>
                </c:pt>
                <c:pt idx="17">
                  <c:v>40255</c:v>
                </c:pt>
                <c:pt idx="18">
                  <c:v>40256</c:v>
                </c:pt>
                <c:pt idx="19">
                  <c:v>40259</c:v>
                </c:pt>
                <c:pt idx="20">
                  <c:v>40260</c:v>
                </c:pt>
                <c:pt idx="21">
                  <c:v>40261</c:v>
                </c:pt>
                <c:pt idx="22">
                  <c:v>40262</c:v>
                </c:pt>
                <c:pt idx="23">
                  <c:v>40263</c:v>
                </c:pt>
                <c:pt idx="24">
                  <c:v>40266</c:v>
                </c:pt>
                <c:pt idx="25">
                  <c:v>40267</c:v>
                </c:pt>
                <c:pt idx="26">
                  <c:v>40268</c:v>
                </c:pt>
                <c:pt idx="27">
                  <c:v>40269</c:v>
                </c:pt>
                <c:pt idx="28">
                  <c:v>40270</c:v>
                </c:pt>
                <c:pt idx="29">
                  <c:v>40273</c:v>
                </c:pt>
                <c:pt idx="30">
                  <c:v>40274</c:v>
                </c:pt>
                <c:pt idx="31">
                  <c:v>40275</c:v>
                </c:pt>
                <c:pt idx="32">
                  <c:v>40276</c:v>
                </c:pt>
                <c:pt idx="33">
                  <c:v>40277</c:v>
                </c:pt>
                <c:pt idx="34">
                  <c:v>40280</c:v>
                </c:pt>
                <c:pt idx="35">
                  <c:v>40281</c:v>
                </c:pt>
                <c:pt idx="36">
                  <c:v>40282</c:v>
                </c:pt>
                <c:pt idx="37">
                  <c:v>40283</c:v>
                </c:pt>
                <c:pt idx="38">
                  <c:v>40284</c:v>
                </c:pt>
                <c:pt idx="39">
                  <c:v>40287</c:v>
                </c:pt>
                <c:pt idx="40">
                  <c:v>40288</c:v>
                </c:pt>
                <c:pt idx="41">
                  <c:v>40289</c:v>
                </c:pt>
                <c:pt idx="42">
                  <c:v>40290</c:v>
                </c:pt>
                <c:pt idx="43">
                  <c:v>40294</c:v>
                </c:pt>
                <c:pt idx="44">
                  <c:v>40295</c:v>
                </c:pt>
                <c:pt idx="45">
                  <c:v>40296</c:v>
                </c:pt>
                <c:pt idx="46">
                  <c:v>40297</c:v>
                </c:pt>
                <c:pt idx="47">
                  <c:v>40298</c:v>
                </c:pt>
                <c:pt idx="48">
                  <c:v>40301</c:v>
                </c:pt>
                <c:pt idx="49">
                  <c:v>40302</c:v>
                </c:pt>
                <c:pt idx="50">
                  <c:v>40303</c:v>
                </c:pt>
                <c:pt idx="51">
                  <c:v>40304</c:v>
                </c:pt>
                <c:pt idx="52">
                  <c:v>40305</c:v>
                </c:pt>
                <c:pt idx="53">
                  <c:v>40308</c:v>
                </c:pt>
                <c:pt idx="54">
                  <c:v>40309</c:v>
                </c:pt>
                <c:pt idx="55">
                  <c:v>40310</c:v>
                </c:pt>
                <c:pt idx="56">
                  <c:v>40311</c:v>
                </c:pt>
                <c:pt idx="57">
                  <c:v>40312</c:v>
                </c:pt>
                <c:pt idx="58">
                  <c:v>40315</c:v>
                </c:pt>
                <c:pt idx="59">
                  <c:v>40316</c:v>
                </c:pt>
                <c:pt idx="60">
                  <c:v>40318</c:v>
                </c:pt>
                <c:pt idx="61">
                  <c:v>40319</c:v>
                </c:pt>
                <c:pt idx="62">
                  <c:v>40322</c:v>
                </c:pt>
                <c:pt idx="63">
                  <c:v>40323</c:v>
                </c:pt>
                <c:pt idx="64">
                  <c:v>40324</c:v>
                </c:pt>
                <c:pt idx="65">
                  <c:v>40325</c:v>
                </c:pt>
                <c:pt idx="66">
                  <c:v>40326</c:v>
                </c:pt>
                <c:pt idx="67">
                  <c:v>40329</c:v>
                </c:pt>
                <c:pt idx="68">
                  <c:v>40330</c:v>
                </c:pt>
                <c:pt idx="69">
                  <c:v>40331</c:v>
                </c:pt>
                <c:pt idx="70">
                  <c:v>40332</c:v>
                </c:pt>
                <c:pt idx="71">
                  <c:v>40333</c:v>
                </c:pt>
                <c:pt idx="72">
                  <c:v>40336</c:v>
                </c:pt>
                <c:pt idx="73">
                  <c:v>40337</c:v>
                </c:pt>
                <c:pt idx="74">
                  <c:v>40338</c:v>
                </c:pt>
                <c:pt idx="75">
                  <c:v>40339</c:v>
                </c:pt>
                <c:pt idx="76">
                  <c:v>40340</c:v>
                </c:pt>
                <c:pt idx="77">
                  <c:v>40343</c:v>
                </c:pt>
                <c:pt idx="78">
                  <c:v>40344</c:v>
                </c:pt>
                <c:pt idx="79">
                  <c:v>40345</c:v>
                </c:pt>
                <c:pt idx="80">
                  <c:v>40346</c:v>
                </c:pt>
                <c:pt idx="81">
                  <c:v>40347</c:v>
                </c:pt>
                <c:pt idx="82">
                  <c:v>40350</c:v>
                </c:pt>
                <c:pt idx="83">
                  <c:v>40351</c:v>
                </c:pt>
                <c:pt idx="84">
                  <c:v>40352</c:v>
                </c:pt>
                <c:pt idx="85">
                  <c:v>40353</c:v>
                </c:pt>
                <c:pt idx="86">
                  <c:v>40354</c:v>
                </c:pt>
                <c:pt idx="87">
                  <c:v>40357</c:v>
                </c:pt>
                <c:pt idx="88">
                  <c:v>40358</c:v>
                </c:pt>
                <c:pt idx="89">
                  <c:v>40359</c:v>
                </c:pt>
                <c:pt idx="90">
                  <c:v>40360</c:v>
                </c:pt>
                <c:pt idx="91">
                  <c:v>40361</c:v>
                </c:pt>
                <c:pt idx="92">
                  <c:v>40364</c:v>
                </c:pt>
                <c:pt idx="93">
                  <c:v>40365</c:v>
                </c:pt>
                <c:pt idx="94">
                  <c:v>40366</c:v>
                </c:pt>
                <c:pt idx="95">
                  <c:v>40367</c:v>
                </c:pt>
                <c:pt idx="96">
                  <c:v>40368</c:v>
                </c:pt>
                <c:pt idx="97">
                  <c:v>40371</c:v>
                </c:pt>
                <c:pt idx="98">
                  <c:v>40372</c:v>
                </c:pt>
                <c:pt idx="99">
                  <c:v>40373</c:v>
                </c:pt>
                <c:pt idx="100">
                  <c:v>40374</c:v>
                </c:pt>
                <c:pt idx="101">
                  <c:v>40375</c:v>
                </c:pt>
                <c:pt idx="102">
                  <c:v>40378</c:v>
                </c:pt>
                <c:pt idx="103">
                  <c:v>40379</c:v>
                </c:pt>
                <c:pt idx="104">
                  <c:v>40380</c:v>
                </c:pt>
                <c:pt idx="105">
                  <c:v>40381</c:v>
                </c:pt>
                <c:pt idx="106">
                  <c:v>40382</c:v>
                </c:pt>
                <c:pt idx="107">
                  <c:v>40385</c:v>
                </c:pt>
                <c:pt idx="108">
                  <c:v>40386</c:v>
                </c:pt>
                <c:pt idx="109">
                  <c:v>40387</c:v>
                </c:pt>
                <c:pt idx="110">
                  <c:v>40388</c:v>
                </c:pt>
                <c:pt idx="111">
                  <c:v>40389</c:v>
                </c:pt>
                <c:pt idx="112">
                  <c:v>40392</c:v>
                </c:pt>
                <c:pt idx="113">
                  <c:v>40393</c:v>
                </c:pt>
                <c:pt idx="114">
                  <c:v>40394</c:v>
                </c:pt>
                <c:pt idx="115">
                  <c:v>40395</c:v>
                </c:pt>
                <c:pt idx="116">
                  <c:v>40396</c:v>
                </c:pt>
                <c:pt idx="117">
                  <c:v>40399</c:v>
                </c:pt>
                <c:pt idx="118">
                  <c:v>40400</c:v>
                </c:pt>
                <c:pt idx="119">
                  <c:v>40401</c:v>
                </c:pt>
                <c:pt idx="120">
                  <c:v>40402</c:v>
                </c:pt>
                <c:pt idx="121">
                  <c:v>40403</c:v>
                </c:pt>
                <c:pt idx="122">
                  <c:v>40406</c:v>
                </c:pt>
                <c:pt idx="123">
                  <c:v>40407</c:v>
                </c:pt>
                <c:pt idx="124">
                  <c:v>40408</c:v>
                </c:pt>
                <c:pt idx="125">
                  <c:v>40409</c:v>
                </c:pt>
                <c:pt idx="126">
                  <c:v>40410</c:v>
                </c:pt>
                <c:pt idx="127">
                  <c:v>40413</c:v>
                </c:pt>
                <c:pt idx="128">
                  <c:v>40414</c:v>
                </c:pt>
                <c:pt idx="129">
                  <c:v>40415</c:v>
                </c:pt>
                <c:pt idx="130">
                  <c:v>40416</c:v>
                </c:pt>
                <c:pt idx="131">
                  <c:v>40417</c:v>
                </c:pt>
                <c:pt idx="132">
                  <c:v>40421</c:v>
                </c:pt>
                <c:pt idx="133">
                  <c:v>40422</c:v>
                </c:pt>
                <c:pt idx="134">
                  <c:v>40423</c:v>
                </c:pt>
                <c:pt idx="135">
                  <c:v>40424</c:v>
                </c:pt>
                <c:pt idx="136">
                  <c:v>40427</c:v>
                </c:pt>
                <c:pt idx="137">
                  <c:v>40428</c:v>
                </c:pt>
                <c:pt idx="138">
                  <c:v>40429</c:v>
                </c:pt>
                <c:pt idx="139">
                  <c:v>40434</c:v>
                </c:pt>
                <c:pt idx="140">
                  <c:v>40435</c:v>
                </c:pt>
                <c:pt idx="141">
                  <c:v>40436</c:v>
                </c:pt>
                <c:pt idx="142">
                  <c:v>40437</c:v>
                </c:pt>
                <c:pt idx="143">
                  <c:v>40438</c:v>
                </c:pt>
                <c:pt idx="144">
                  <c:v>40441</c:v>
                </c:pt>
                <c:pt idx="145">
                  <c:v>40442</c:v>
                </c:pt>
                <c:pt idx="146">
                  <c:v>40443</c:v>
                </c:pt>
                <c:pt idx="147">
                  <c:v>40444</c:v>
                </c:pt>
                <c:pt idx="148">
                  <c:v>40445</c:v>
                </c:pt>
                <c:pt idx="149">
                  <c:v>40448</c:v>
                </c:pt>
                <c:pt idx="150">
                  <c:v>40449</c:v>
                </c:pt>
                <c:pt idx="151">
                  <c:v>40450</c:v>
                </c:pt>
                <c:pt idx="152">
                  <c:v>40451</c:v>
                </c:pt>
                <c:pt idx="153">
                  <c:v>40452</c:v>
                </c:pt>
                <c:pt idx="154">
                  <c:v>40455</c:v>
                </c:pt>
                <c:pt idx="155">
                  <c:v>40456</c:v>
                </c:pt>
                <c:pt idx="156">
                  <c:v>40457</c:v>
                </c:pt>
                <c:pt idx="157">
                  <c:v>40458</c:v>
                </c:pt>
                <c:pt idx="158">
                  <c:v>40459</c:v>
                </c:pt>
                <c:pt idx="159">
                  <c:v>40462</c:v>
                </c:pt>
                <c:pt idx="160">
                  <c:v>40463</c:v>
                </c:pt>
                <c:pt idx="161">
                  <c:v>40464</c:v>
                </c:pt>
                <c:pt idx="162">
                  <c:v>40465</c:v>
                </c:pt>
                <c:pt idx="163">
                  <c:v>40466</c:v>
                </c:pt>
                <c:pt idx="164">
                  <c:v>40469</c:v>
                </c:pt>
                <c:pt idx="165">
                  <c:v>40470</c:v>
                </c:pt>
                <c:pt idx="166">
                  <c:v>40471</c:v>
                </c:pt>
                <c:pt idx="167">
                  <c:v>40472</c:v>
                </c:pt>
                <c:pt idx="168">
                  <c:v>40473</c:v>
                </c:pt>
                <c:pt idx="169">
                  <c:v>40476</c:v>
                </c:pt>
                <c:pt idx="170">
                  <c:v>40477</c:v>
                </c:pt>
                <c:pt idx="171">
                  <c:v>40478</c:v>
                </c:pt>
                <c:pt idx="172">
                  <c:v>40483</c:v>
                </c:pt>
                <c:pt idx="173">
                  <c:v>40484</c:v>
                </c:pt>
                <c:pt idx="174">
                  <c:v>40485</c:v>
                </c:pt>
                <c:pt idx="175">
                  <c:v>40486</c:v>
                </c:pt>
                <c:pt idx="176">
                  <c:v>40487</c:v>
                </c:pt>
                <c:pt idx="177">
                  <c:v>40490</c:v>
                </c:pt>
                <c:pt idx="178">
                  <c:v>40491</c:v>
                </c:pt>
                <c:pt idx="179">
                  <c:v>40492</c:v>
                </c:pt>
                <c:pt idx="180">
                  <c:v>40493</c:v>
                </c:pt>
                <c:pt idx="181">
                  <c:v>40494</c:v>
                </c:pt>
                <c:pt idx="182">
                  <c:v>40497</c:v>
                </c:pt>
                <c:pt idx="183">
                  <c:v>40504</c:v>
                </c:pt>
                <c:pt idx="184">
                  <c:v>40505</c:v>
                </c:pt>
                <c:pt idx="185">
                  <c:v>40506</c:v>
                </c:pt>
                <c:pt idx="186">
                  <c:v>40507</c:v>
                </c:pt>
                <c:pt idx="187">
                  <c:v>40508</c:v>
                </c:pt>
                <c:pt idx="188">
                  <c:v>40511</c:v>
                </c:pt>
                <c:pt idx="189">
                  <c:v>40512</c:v>
                </c:pt>
                <c:pt idx="190">
                  <c:v>40513</c:v>
                </c:pt>
                <c:pt idx="191">
                  <c:v>40514</c:v>
                </c:pt>
                <c:pt idx="192">
                  <c:v>40515</c:v>
                </c:pt>
                <c:pt idx="193">
                  <c:v>40518</c:v>
                </c:pt>
                <c:pt idx="194">
                  <c:v>40519</c:v>
                </c:pt>
                <c:pt idx="195">
                  <c:v>40520</c:v>
                </c:pt>
                <c:pt idx="196">
                  <c:v>40521</c:v>
                </c:pt>
                <c:pt idx="197">
                  <c:v>40522</c:v>
                </c:pt>
                <c:pt idx="198">
                  <c:v>40525</c:v>
                </c:pt>
                <c:pt idx="199">
                  <c:v>40526</c:v>
                </c:pt>
                <c:pt idx="200">
                  <c:v>40527</c:v>
                </c:pt>
                <c:pt idx="201">
                  <c:v>40528</c:v>
                </c:pt>
                <c:pt idx="202">
                  <c:v>40529</c:v>
                </c:pt>
                <c:pt idx="203">
                  <c:v>40532</c:v>
                </c:pt>
                <c:pt idx="204">
                  <c:v>40533</c:v>
                </c:pt>
                <c:pt idx="205">
                  <c:v>40534</c:v>
                </c:pt>
                <c:pt idx="206">
                  <c:v>40535</c:v>
                </c:pt>
                <c:pt idx="207">
                  <c:v>40536</c:v>
                </c:pt>
                <c:pt idx="208">
                  <c:v>40539</c:v>
                </c:pt>
                <c:pt idx="209">
                  <c:v>40540</c:v>
                </c:pt>
                <c:pt idx="210">
                  <c:v>40541</c:v>
                </c:pt>
                <c:pt idx="211">
                  <c:v>40542</c:v>
                </c:pt>
                <c:pt idx="212">
                  <c:v>40543</c:v>
                </c:pt>
                <c:pt idx="213">
                  <c:v>40546</c:v>
                </c:pt>
                <c:pt idx="214">
                  <c:v>40547</c:v>
                </c:pt>
                <c:pt idx="215">
                  <c:v>40548</c:v>
                </c:pt>
                <c:pt idx="216">
                  <c:v>40549</c:v>
                </c:pt>
                <c:pt idx="217">
                  <c:v>40550</c:v>
                </c:pt>
                <c:pt idx="218">
                  <c:v>40553</c:v>
                </c:pt>
                <c:pt idx="219">
                  <c:v>40554</c:v>
                </c:pt>
                <c:pt idx="220">
                  <c:v>40555</c:v>
                </c:pt>
                <c:pt idx="221">
                  <c:v>40556</c:v>
                </c:pt>
                <c:pt idx="222">
                  <c:v>40557</c:v>
                </c:pt>
                <c:pt idx="223">
                  <c:v>40560</c:v>
                </c:pt>
                <c:pt idx="224">
                  <c:v>40561</c:v>
                </c:pt>
                <c:pt idx="225">
                  <c:v>40562</c:v>
                </c:pt>
                <c:pt idx="226">
                  <c:v>40563</c:v>
                </c:pt>
                <c:pt idx="227">
                  <c:v>40564</c:v>
                </c:pt>
                <c:pt idx="228">
                  <c:v>40567</c:v>
                </c:pt>
                <c:pt idx="229">
                  <c:v>40568</c:v>
                </c:pt>
                <c:pt idx="230">
                  <c:v>40569</c:v>
                </c:pt>
                <c:pt idx="231">
                  <c:v>40570</c:v>
                </c:pt>
                <c:pt idx="232">
                  <c:v>40571</c:v>
                </c:pt>
                <c:pt idx="233">
                  <c:v>40574</c:v>
                </c:pt>
                <c:pt idx="234">
                  <c:v>40575</c:v>
                </c:pt>
                <c:pt idx="235">
                  <c:v>40576</c:v>
                </c:pt>
                <c:pt idx="236">
                  <c:v>40577</c:v>
                </c:pt>
                <c:pt idx="237">
                  <c:v>40578</c:v>
                </c:pt>
                <c:pt idx="238">
                  <c:v>40581</c:v>
                </c:pt>
                <c:pt idx="239">
                  <c:v>40582</c:v>
                </c:pt>
                <c:pt idx="240">
                  <c:v>40583</c:v>
                </c:pt>
                <c:pt idx="241">
                  <c:v>40584</c:v>
                </c:pt>
                <c:pt idx="242">
                  <c:v>40585</c:v>
                </c:pt>
                <c:pt idx="243">
                  <c:v>40588</c:v>
                </c:pt>
                <c:pt idx="244">
                  <c:v>40589</c:v>
                </c:pt>
                <c:pt idx="245">
                  <c:v>40590</c:v>
                </c:pt>
                <c:pt idx="246">
                  <c:v>40591</c:v>
                </c:pt>
                <c:pt idx="247">
                  <c:v>40592</c:v>
                </c:pt>
                <c:pt idx="248">
                  <c:v>40595</c:v>
                </c:pt>
                <c:pt idx="249">
                  <c:v>40596</c:v>
                </c:pt>
              </c:numCache>
            </c:numRef>
          </c:cat>
          <c:val>
            <c:numRef>
              <c:f>prueba!$K$3:$K$252</c:f>
              <c:numCache>
                <c:formatCode>General</c:formatCode>
                <c:ptCount val="250"/>
                <c:pt idx="0">
                  <c:v>-3.2981933999999997E-2</c:v>
                </c:pt>
                <c:pt idx="1">
                  <c:v>-4.3526856000000003E-2</c:v>
                </c:pt>
                <c:pt idx="2">
                  <c:v>-2.0265320999999999E-2</c:v>
                </c:pt>
                <c:pt idx="3">
                  <c:v>2.2167026999999999E-2</c:v>
                </c:pt>
                <c:pt idx="4">
                  <c:v>2.9827052E-2</c:v>
                </c:pt>
                <c:pt idx="5">
                  <c:v>8.1772140000000004E-3</c:v>
                </c:pt>
                <c:pt idx="6">
                  <c:v>3.7990379999999998E-3</c:v>
                </c:pt>
                <c:pt idx="7">
                  <c:v>-8.7260900000000006E-3</c:v>
                </c:pt>
                <c:pt idx="8">
                  <c:v>2.2575537E-2</c:v>
                </c:pt>
                <c:pt idx="9">
                  <c:v>2.2410943999999999E-2</c:v>
                </c:pt>
                <c:pt idx="10">
                  <c:v>-1.2297361999999999E-2</c:v>
                </c:pt>
                <c:pt idx="11">
                  <c:v>-2.936129E-3</c:v>
                </c:pt>
                <c:pt idx="12">
                  <c:v>-5.5874719999999996E-3</c:v>
                </c:pt>
                <c:pt idx="13">
                  <c:v>3.5570049999999998E-3</c:v>
                </c:pt>
                <c:pt idx="14">
                  <c:v>-6.3373630000000004E-3</c:v>
                </c:pt>
                <c:pt idx="15">
                  <c:v>2.4778657999999999E-2</c:v>
                </c:pt>
                <c:pt idx="16">
                  <c:v>2.7046713999999999E-2</c:v>
                </c:pt>
                <c:pt idx="17">
                  <c:v>-1.8503617E-2</c:v>
                </c:pt>
                <c:pt idx="18">
                  <c:v>-7.7491770000000003E-3</c:v>
                </c:pt>
                <c:pt idx="19">
                  <c:v>-3.3317299999999998E-4</c:v>
                </c:pt>
                <c:pt idx="20">
                  <c:v>9.1997510000000008E-3</c:v>
                </c:pt>
                <c:pt idx="21">
                  <c:v>1.5642970999999999E-2</c:v>
                </c:pt>
                <c:pt idx="22">
                  <c:v>3.4281823000000003E-2</c:v>
                </c:pt>
                <c:pt idx="23">
                  <c:v>-2.5390999999999999E-3</c:v>
                </c:pt>
                <c:pt idx="24">
                  <c:v>2.9870510000000001E-3</c:v>
                </c:pt>
                <c:pt idx="25">
                  <c:v>2.8998959999999999E-3</c:v>
                </c:pt>
                <c:pt idx="26">
                  <c:v>9.2072599999999997E-6</c:v>
                </c:pt>
                <c:pt idx="27">
                  <c:v>2.3256492E-2</c:v>
                </c:pt>
                <c:pt idx="28">
                  <c:v>6.6703969999999998E-3</c:v>
                </c:pt>
                <c:pt idx="29">
                  <c:v>1.1553941E-2</c:v>
                </c:pt>
                <c:pt idx="30">
                  <c:v>-1.3568009999999999E-3</c:v>
                </c:pt>
                <c:pt idx="31">
                  <c:v>1.1301841E-2</c:v>
                </c:pt>
                <c:pt idx="32">
                  <c:v>-6.8009860000000002E-3</c:v>
                </c:pt>
                <c:pt idx="33">
                  <c:v>2.3087673E-2</c:v>
                </c:pt>
                <c:pt idx="34">
                  <c:v>-3.594491E-3</c:v>
                </c:pt>
                <c:pt idx="35">
                  <c:v>-1.6214159999999998E-2</c:v>
                </c:pt>
                <c:pt idx="36">
                  <c:v>2.8145888000000001E-2</c:v>
                </c:pt>
                <c:pt idx="37">
                  <c:v>-3.2906010000000002E-3</c:v>
                </c:pt>
                <c:pt idx="38">
                  <c:v>-1.1798022999999999E-2</c:v>
                </c:pt>
                <c:pt idx="39">
                  <c:v>-1.4212047E-2</c:v>
                </c:pt>
                <c:pt idx="40">
                  <c:v>1.6708117000000001E-2</c:v>
                </c:pt>
                <c:pt idx="41">
                  <c:v>-3.765961E-3</c:v>
                </c:pt>
                <c:pt idx="42">
                  <c:v>-1.1803199999999999E-3</c:v>
                </c:pt>
                <c:pt idx="43">
                  <c:v>1.5475997E-2</c:v>
                </c:pt>
                <c:pt idx="44">
                  <c:v>-1.7618884000000001E-2</c:v>
                </c:pt>
                <c:pt idx="45">
                  <c:v>-2.0578676000000001E-2</c:v>
                </c:pt>
                <c:pt idx="46">
                  <c:v>2.5293045E-2</c:v>
                </c:pt>
                <c:pt idx="47">
                  <c:v>8.7574430000000002E-3</c:v>
                </c:pt>
                <c:pt idx="48">
                  <c:v>-1.7841335E-2</c:v>
                </c:pt>
                <c:pt idx="49">
                  <c:v>-2.1593711000000002E-2</c:v>
                </c:pt>
                <c:pt idx="50">
                  <c:v>-2.80919E-2</c:v>
                </c:pt>
                <c:pt idx="51">
                  <c:v>-2.4921713000000002E-2</c:v>
                </c:pt>
                <c:pt idx="52">
                  <c:v>-7.6967444999999995E-2</c:v>
                </c:pt>
                <c:pt idx="53">
                  <c:v>0.100620694</c:v>
                </c:pt>
                <c:pt idx="54">
                  <c:v>-1.0619633999999999E-2</c:v>
                </c:pt>
                <c:pt idx="55">
                  <c:v>3.099938E-2</c:v>
                </c:pt>
                <c:pt idx="56">
                  <c:v>6.1901070000000002E-3</c:v>
                </c:pt>
                <c:pt idx="57">
                  <c:v>-4.6439623999999999E-2</c:v>
                </c:pt>
                <c:pt idx="58">
                  <c:v>-3.439788E-3</c:v>
                </c:pt>
                <c:pt idx="59">
                  <c:v>2.1205696999999999E-2</c:v>
                </c:pt>
                <c:pt idx="60">
                  <c:v>-7.3525699999999999E-2</c:v>
                </c:pt>
                <c:pt idx="61">
                  <c:v>-8.0728129999999999E-3</c:v>
                </c:pt>
                <c:pt idx="62">
                  <c:v>1.5165339999999999E-2</c:v>
                </c:pt>
                <c:pt idx="63">
                  <c:v>-5.7318925E-2</c:v>
                </c:pt>
                <c:pt idx="64">
                  <c:v>4.3782356000000001E-2</c:v>
                </c:pt>
                <c:pt idx="65">
                  <c:v>1.4993319E-2</c:v>
                </c:pt>
                <c:pt idx="66">
                  <c:v>1.9388862E-2</c:v>
                </c:pt>
                <c:pt idx="67">
                  <c:v>-2.5179175000000002E-2</c:v>
                </c:pt>
                <c:pt idx="68">
                  <c:v>-7.1334019999999996E-3</c:v>
                </c:pt>
                <c:pt idx="69">
                  <c:v>1.7966551000000001E-2</c:v>
                </c:pt>
                <c:pt idx="70">
                  <c:v>8.1771550000000002E-3</c:v>
                </c:pt>
                <c:pt idx="71">
                  <c:v>-2.1635353E-2</c:v>
                </c:pt>
                <c:pt idx="72">
                  <c:v>-1.5977304000000001E-2</c:v>
                </c:pt>
                <c:pt idx="73">
                  <c:v>-1.4532623999999999E-2</c:v>
                </c:pt>
                <c:pt idx="74">
                  <c:v>1.5006205999999999E-2</c:v>
                </c:pt>
                <c:pt idx="75">
                  <c:v>1.2652948000000001E-2</c:v>
                </c:pt>
                <c:pt idx="76">
                  <c:v>1.5163322999999999E-2</c:v>
                </c:pt>
                <c:pt idx="77">
                  <c:v>1.7462518999999999E-2</c:v>
                </c:pt>
                <c:pt idx="78">
                  <c:v>7.567692E-3</c:v>
                </c:pt>
                <c:pt idx="79">
                  <c:v>5.8783070000000002E-3</c:v>
                </c:pt>
                <c:pt idx="80">
                  <c:v>1.079917E-2</c:v>
                </c:pt>
                <c:pt idx="81">
                  <c:v>6.8365769999999999E-3</c:v>
                </c:pt>
                <c:pt idx="82">
                  <c:v>8.1935859999999992E-3</c:v>
                </c:pt>
                <c:pt idx="83">
                  <c:v>-1.1254900999999999E-2</c:v>
                </c:pt>
                <c:pt idx="84">
                  <c:v>-2.2131100000000001E-2</c:v>
                </c:pt>
                <c:pt idx="85">
                  <c:v>-8.0241830000000007E-3</c:v>
                </c:pt>
                <c:pt idx="86">
                  <c:v>-3.5908419999999999E-3</c:v>
                </c:pt>
                <c:pt idx="87">
                  <c:v>1.6951145000000001E-2</c:v>
                </c:pt>
                <c:pt idx="88">
                  <c:v>-2.8443062000000002E-2</c:v>
                </c:pt>
                <c:pt idx="89">
                  <c:v>-6.1949509999999998E-3</c:v>
                </c:pt>
                <c:pt idx="90">
                  <c:v>-7.6776190000000001E-3</c:v>
                </c:pt>
                <c:pt idx="91">
                  <c:v>2.6056593999999999E-2</c:v>
                </c:pt>
                <c:pt idx="92">
                  <c:v>7.3752330000000001E-3</c:v>
                </c:pt>
                <c:pt idx="93">
                  <c:v>2.2922606000000002E-2</c:v>
                </c:pt>
                <c:pt idx="94">
                  <c:v>-7.1371900000000003E-4</c:v>
                </c:pt>
                <c:pt idx="95">
                  <c:v>1.5335579E-2</c:v>
                </c:pt>
                <c:pt idx="96">
                  <c:v>-2.3665359999999998E-3</c:v>
                </c:pt>
                <c:pt idx="97">
                  <c:v>2.454421E-3</c:v>
                </c:pt>
                <c:pt idx="98">
                  <c:v>1.2557159E-2</c:v>
                </c:pt>
                <c:pt idx="99">
                  <c:v>9.6638430000000001E-3</c:v>
                </c:pt>
                <c:pt idx="100">
                  <c:v>-7.8020019999999997E-3</c:v>
                </c:pt>
                <c:pt idx="101">
                  <c:v>4.7438610000000003E-3</c:v>
                </c:pt>
                <c:pt idx="102">
                  <c:v>1.609521E-3</c:v>
                </c:pt>
                <c:pt idx="103">
                  <c:v>4.8897200000000002E-3</c:v>
                </c:pt>
                <c:pt idx="104">
                  <c:v>2.7040453999999998E-2</c:v>
                </c:pt>
                <c:pt idx="105">
                  <c:v>8.759167E-3</c:v>
                </c:pt>
                <c:pt idx="106">
                  <c:v>-6.5019730000000003E-3</c:v>
                </c:pt>
                <c:pt idx="107">
                  <c:v>2.976954E-3</c:v>
                </c:pt>
                <c:pt idx="108">
                  <c:v>1.8680978000000001E-2</c:v>
                </c:pt>
                <c:pt idx="109">
                  <c:v>2.580017E-3</c:v>
                </c:pt>
                <c:pt idx="110">
                  <c:v>5.4291909999999999E-3</c:v>
                </c:pt>
                <c:pt idx="111">
                  <c:v>-1.5301669E-2</c:v>
                </c:pt>
                <c:pt idx="112">
                  <c:v>2.2125061000000001E-2</c:v>
                </c:pt>
                <c:pt idx="113">
                  <c:v>-6.4154770000000002E-3</c:v>
                </c:pt>
                <c:pt idx="114">
                  <c:v>-8.0658840000000006E-3</c:v>
                </c:pt>
                <c:pt idx="115">
                  <c:v>-5.9189819999999997E-3</c:v>
                </c:pt>
                <c:pt idx="116">
                  <c:v>5.730527E-3</c:v>
                </c:pt>
                <c:pt idx="117">
                  <c:v>8.2076070000000004E-3</c:v>
                </c:pt>
                <c:pt idx="118">
                  <c:v>-1.7887816000000001E-2</c:v>
                </c:pt>
                <c:pt idx="119">
                  <c:v>-2.5658664000000001E-2</c:v>
                </c:pt>
                <c:pt idx="120">
                  <c:v>-3.832495E-3</c:v>
                </c:pt>
                <c:pt idx="121">
                  <c:v>6.9472309999999999E-3</c:v>
                </c:pt>
                <c:pt idx="122">
                  <c:v>6.5785360000000003E-3</c:v>
                </c:pt>
                <c:pt idx="123">
                  <c:v>2.0238128000000001E-2</c:v>
                </c:pt>
                <c:pt idx="124">
                  <c:v>-3.2736199999999999E-4</c:v>
                </c:pt>
                <c:pt idx="125">
                  <c:v>-1.2118576000000001E-2</c:v>
                </c:pt>
                <c:pt idx="126">
                  <c:v>-9.9611449999999994E-3</c:v>
                </c:pt>
                <c:pt idx="127">
                  <c:v>-3.9646400000000002E-4</c:v>
                </c:pt>
                <c:pt idx="128">
                  <c:v>-1.3976189E-2</c:v>
                </c:pt>
                <c:pt idx="129">
                  <c:v>-2.2902550000000002E-3</c:v>
                </c:pt>
                <c:pt idx="130">
                  <c:v>1.5274596999999999E-2</c:v>
                </c:pt>
                <c:pt idx="131">
                  <c:v>5.8530750000000001E-3</c:v>
                </c:pt>
                <c:pt idx="132">
                  <c:v>6.8124229999999997E-3</c:v>
                </c:pt>
                <c:pt idx="133">
                  <c:v>1.5375877E-2</c:v>
                </c:pt>
                <c:pt idx="134">
                  <c:v>9.6579519999999992E-3</c:v>
                </c:pt>
                <c:pt idx="135">
                  <c:v>6.1142590000000004E-3</c:v>
                </c:pt>
                <c:pt idx="136">
                  <c:v>5.5482960000000003E-3</c:v>
                </c:pt>
                <c:pt idx="137">
                  <c:v>-1.2223346E-2</c:v>
                </c:pt>
                <c:pt idx="138">
                  <c:v>-2.284646E-3</c:v>
                </c:pt>
                <c:pt idx="139">
                  <c:v>3.6792574000000001E-2</c:v>
                </c:pt>
                <c:pt idx="140">
                  <c:v>9.56115E-4</c:v>
                </c:pt>
                <c:pt idx="141">
                  <c:v>1.8699349000000001E-2</c:v>
                </c:pt>
                <c:pt idx="142">
                  <c:v>6.2122219999999999E-3</c:v>
                </c:pt>
                <c:pt idx="143">
                  <c:v>-6.6432399999999999E-4</c:v>
                </c:pt>
                <c:pt idx="144">
                  <c:v>6.6035809999999999E-3</c:v>
                </c:pt>
                <c:pt idx="145">
                  <c:v>3.2605500000000001E-4</c:v>
                </c:pt>
                <c:pt idx="146">
                  <c:v>1.0378034E-2</c:v>
                </c:pt>
                <c:pt idx="147">
                  <c:v>-6.8895400000000004E-3</c:v>
                </c:pt>
                <c:pt idx="148">
                  <c:v>2.3149669999999998E-3</c:v>
                </c:pt>
                <c:pt idx="149">
                  <c:v>1.2779852E-2</c:v>
                </c:pt>
                <c:pt idx="150">
                  <c:v>1.5942484E-2</c:v>
                </c:pt>
                <c:pt idx="151">
                  <c:v>1.0183485000000001E-2</c:v>
                </c:pt>
                <c:pt idx="152">
                  <c:v>8.7890529999999998E-3</c:v>
                </c:pt>
                <c:pt idx="153">
                  <c:v>-1.0596542E-2</c:v>
                </c:pt>
                <c:pt idx="154">
                  <c:v>8.2422060000000002E-3</c:v>
                </c:pt>
                <c:pt idx="155">
                  <c:v>1.1309614000000001E-2</c:v>
                </c:pt>
                <c:pt idx="156">
                  <c:v>2.7594180999999999E-2</c:v>
                </c:pt>
                <c:pt idx="157">
                  <c:v>8.8612900000000004E-4</c:v>
                </c:pt>
                <c:pt idx="158">
                  <c:v>1.96004E-4</c:v>
                </c:pt>
                <c:pt idx="159">
                  <c:v>3.7795035999999997E-2</c:v>
                </c:pt>
                <c:pt idx="160">
                  <c:v>3.7386800000000002E-4</c:v>
                </c:pt>
                <c:pt idx="161">
                  <c:v>1.5684163000000001E-2</c:v>
                </c:pt>
                <c:pt idx="162">
                  <c:v>-4.1285209999999996E-3</c:v>
                </c:pt>
                <c:pt idx="163">
                  <c:v>7.6884950000000001E-3</c:v>
                </c:pt>
                <c:pt idx="164">
                  <c:v>-8.1409800000000008E-3</c:v>
                </c:pt>
                <c:pt idx="165">
                  <c:v>-7.6958809999999999E-3</c:v>
                </c:pt>
                <c:pt idx="166">
                  <c:v>-1.1326734999999999E-2</c:v>
                </c:pt>
                <c:pt idx="167">
                  <c:v>2.2096172000000001E-2</c:v>
                </c:pt>
                <c:pt idx="168">
                  <c:v>1.7962900000000001E-3</c:v>
                </c:pt>
                <c:pt idx="169">
                  <c:v>8.5209750000000001E-3</c:v>
                </c:pt>
                <c:pt idx="170">
                  <c:v>-6.4019259999999996E-3</c:v>
                </c:pt>
                <c:pt idx="171">
                  <c:v>-4.2735495999999998E-2</c:v>
                </c:pt>
                <c:pt idx="172">
                  <c:v>1.4432573000000001E-2</c:v>
                </c:pt>
                <c:pt idx="173">
                  <c:v>-1.306691E-3</c:v>
                </c:pt>
                <c:pt idx="174">
                  <c:v>7.0394430000000003E-3</c:v>
                </c:pt>
                <c:pt idx="175">
                  <c:v>4.2670291999999999E-2</c:v>
                </c:pt>
                <c:pt idx="176">
                  <c:v>-4.3741179999999998E-3</c:v>
                </c:pt>
                <c:pt idx="177">
                  <c:v>-5.7341299999999996E-3</c:v>
                </c:pt>
                <c:pt idx="178">
                  <c:v>8.5232399999999996E-3</c:v>
                </c:pt>
                <c:pt idx="179">
                  <c:v>-1.6602556000000001E-2</c:v>
                </c:pt>
                <c:pt idx="180">
                  <c:v>-1.1877057999999999E-2</c:v>
                </c:pt>
                <c:pt idx="181">
                  <c:v>-1.7336606000000001E-2</c:v>
                </c:pt>
                <c:pt idx="182">
                  <c:v>6.3788610000000004E-3</c:v>
                </c:pt>
                <c:pt idx="183">
                  <c:v>-3.5632732E-2</c:v>
                </c:pt>
                <c:pt idx="184">
                  <c:v>-3.7541092999999998E-2</c:v>
                </c:pt>
                <c:pt idx="185">
                  <c:v>-4.48648E-4</c:v>
                </c:pt>
                <c:pt idx="186">
                  <c:v>3.5347099999999999E-3</c:v>
                </c:pt>
                <c:pt idx="187">
                  <c:v>-2.3631065E-2</c:v>
                </c:pt>
                <c:pt idx="188">
                  <c:v>-3.4779442000000001E-2</c:v>
                </c:pt>
                <c:pt idx="189">
                  <c:v>1.117932E-2</c:v>
                </c:pt>
                <c:pt idx="190">
                  <c:v>1.9146303999999999E-2</c:v>
                </c:pt>
                <c:pt idx="191">
                  <c:v>1.6953000999999999E-2</c:v>
                </c:pt>
                <c:pt idx="192">
                  <c:v>4.1029040000000001E-3</c:v>
                </c:pt>
                <c:pt idx="193">
                  <c:v>1.0356506E-2</c:v>
                </c:pt>
                <c:pt idx="194">
                  <c:v>8.157404E-3</c:v>
                </c:pt>
                <c:pt idx="195">
                  <c:v>-1.2462407999999999E-2</c:v>
                </c:pt>
                <c:pt idx="196">
                  <c:v>-3.1852930000000002E-2</c:v>
                </c:pt>
                <c:pt idx="197">
                  <c:v>-2.0089706999999998E-2</c:v>
                </c:pt>
                <c:pt idx="198">
                  <c:v>2.2188263E-2</c:v>
                </c:pt>
                <c:pt idx="199">
                  <c:v>4.6893179999999996E-3</c:v>
                </c:pt>
                <c:pt idx="200">
                  <c:v>-2.6703272E-2</c:v>
                </c:pt>
                <c:pt idx="201">
                  <c:v>-1.9641181000000001E-2</c:v>
                </c:pt>
                <c:pt idx="202">
                  <c:v>-1.6985296E-2</c:v>
                </c:pt>
                <c:pt idx="203">
                  <c:v>-1.7391671000000001E-2</c:v>
                </c:pt>
                <c:pt idx="204">
                  <c:v>1.8217236000000001E-2</c:v>
                </c:pt>
                <c:pt idx="205">
                  <c:v>1.2176661E-2</c:v>
                </c:pt>
                <c:pt idx="206">
                  <c:v>1.2478901000000001E-2</c:v>
                </c:pt>
                <c:pt idx="207">
                  <c:v>4.2329669999999998E-3</c:v>
                </c:pt>
                <c:pt idx="208">
                  <c:v>6.3400000000000001E-4</c:v>
                </c:pt>
                <c:pt idx="209">
                  <c:v>4.3838200000000002E-4</c:v>
                </c:pt>
                <c:pt idx="210">
                  <c:v>-5.5817740000000003E-3</c:v>
                </c:pt>
                <c:pt idx="211">
                  <c:v>8.4384979999999991E-3</c:v>
                </c:pt>
                <c:pt idx="212">
                  <c:v>-6.861097E-3</c:v>
                </c:pt>
                <c:pt idx="213">
                  <c:v>1.7515472000000001E-2</c:v>
                </c:pt>
                <c:pt idx="214">
                  <c:v>1.1047589999999999E-2</c:v>
                </c:pt>
                <c:pt idx="215">
                  <c:v>1.1780211000000001E-2</c:v>
                </c:pt>
                <c:pt idx="216">
                  <c:v>6.8502199999999997E-3</c:v>
                </c:pt>
                <c:pt idx="217">
                  <c:v>-1.8754847000000002E-2</c:v>
                </c:pt>
                <c:pt idx="218">
                  <c:v>-2.6324670000000001E-2</c:v>
                </c:pt>
                <c:pt idx="219">
                  <c:v>1.7947670000000001E-3</c:v>
                </c:pt>
                <c:pt idx="220">
                  <c:v>9.0640510000000001E-3</c:v>
                </c:pt>
                <c:pt idx="221">
                  <c:v>1.6297587999999998E-2</c:v>
                </c:pt>
                <c:pt idx="222">
                  <c:v>-4.7002279999999999E-3</c:v>
                </c:pt>
                <c:pt idx="223">
                  <c:v>-1.5367702E-2</c:v>
                </c:pt>
                <c:pt idx="224">
                  <c:v>4.5795269999999999E-3</c:v>
                </c:pt>
                <c:pt idx="225">
                  <c:v>-3.2090069999999998E-3</c:v>
                </c:pt>
                <c:pt idx="226">
                  <c:v>-3.1651659999999998E-2</c:v>
                </c:pt>
                <c:pt idx="227">
                  <c:v>-5.1083300000000003E-4</c:v>
                </c:pt>
                <c:pt idx="228">
                  <c:v>-7.4262540000000002E-3</c:v>
                </c:pt>
                <c:pt idx="229">
                  <c:v>4.6386450000000003E-3</c:v>
                </c:pt>
                <c:pt idx="230">
                  <c:v>5.404402E-3</c:v>
                </c:pt>
                <c:pt idx="231">
                  <c:v>-1.4976415E-2</c:v>
                </c:pt>
                <c:pt idx="232">
                  <c:v>-3.8598965999999998E-2</c:v>
                </c:pt>
                <c:pt idx="233">
                  <c:v>-8.8830330000000002E-3</c:v>
                </c:pt>
                <c:pt idx="234">
                  <c:v>3.5256817000000003E-2</c:v>
                </c:pt>
                <c:pt idx="235">
                  <c:v>1.4238624E-2</c:v>
                </c:pt>
                <c:pt idx="236">
                  <c:v>-2.7850188000000001E-2</c:v>
                </c:pt>
                <c:pt idx="237">
                  <c:v>1.3959226999999999E-2</c:v>
                </c:pt>
                <c:pt idx="238">
                  <c:v>8.5528879999999998E-3</c:v>
                </c:pt>
                <c:pt idx="239">
                  <c:v>6.8857060000000001E-3</c:v>
                </c:pt>
                <c:pt idx="240">
                  <c:v>-3.25487E-3</c:v>
                </c:pt>
                <c:pt idx="241">
                  <c:v>-2.4920602E-2</c:v>
                </c:pt>
                <c:pt idx="242">
                  <c:v>6.4182199999999997E-3</c:v>
                </c:pt>
                <c:pt idx="243">
                  <c:v>4.0451400000000002E-4</c:v>
                </c:pt>
                <c:pt idx="244">
                  <c:v>8.9272199999999998E-4</c:v>
                </c:pt>
                <c:pt idx="245">
                  <c:v>1.3399898E-2</c:v>
                </c:pt>
                <c:pt idx="246">
                  <c:v>1.5977202999999999E-2</c:v>
                </c:pt>
                <c:pt idx="247">
                  <c:v>-1.652602E-3</c:v>
                </c:pt>
                <c:pt idx="248">
                  <c:v>-1.3705988000000001E-2</c:v>
                </c:pt>
                <c:pt idx="249">
                  <c:v>-1.944185E-2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prueba!$L$2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cat>
            <c:numRef>
              <c:f>prueba!$A$3:$A$252</c:f>
              <c:numCache>
                <c:formatCode>[$-409]d\-mmm\-yy;@</c:formatCode>
                <c:ptCount val="250"/>
                <c:pt idx="0">
                  <c:v>40232</c:v>
                </c:pt>
                <c:pt idx="1">
                  <c:v>40233</c:v>
                </c:pt>
                <c:pt idx="2">
                  <c:v>40234</c:v>
                </c:pt>
                <c:pt idx="3">
                  <c:v>40235</c:v>
                </c:pt>
                <c:pt idx="4">
                  <c:v>40238</c:v>
                </c:pt>
                <c:pt idx="5">
                  <c:v>40239</c:v>
                </c:pt>
                <c:pt idx="6">
                  <c:v>40240</c:v>
                </c:pt>
                <c:pt idx="7">
                  <c:v>40241</c:v>
                </c:pt>
                <c:pt idx="8">
                  <c:v>40242</c:v>
                </c:pt>
                <c:pt idx="9">
                  <c:v>40245</c:v>
                </c:pt>
                <c:pt idx="10">
                  <c:v>40246</c:v>
                </c:pt>
                <c:pt idx="11">
                  <c:v>40247</c:v>
                </c:pt>
                <c:pt idx="12">
                  <c:v>40248</c:v>
                </c:pt>
                <c:pt idx="13">
                  <c:v>40249</c:v>
                </c:pt>
                <c:pt idx="14">
                  <c:v>40252</c:v>
                </c:pt>
                <c:pt idx="15">
                  <c:v>40253</c:v>
                </c:pt>
                <c:pt idx="16">
                  <c:v>40254</c:v>
                </c:pt>
                <c:pt idx="17">
                  <c:v>40255</c:v>
                </c:pt>
                <c:pt idx="18">
                  <c:v>40256</c:v>
                </c:pt>
                <c:pt idx="19">
                  <c:v>40259</c:v>
                </c:pt>
                <c:pt idx="20">
                  <c:v>40260</c:v>
                </c:pt>
                <c:pt idx="21">
                  <c:v>40261</c:v>
                </c:pt>
                <c:pt idx="22">
                  <c:v>40262</c:v>
                </c:pt>
                <c:pt idx="23">
                  <c:v>40263</c:v>
                </c:pt>
                <c:pt idx="24">
                  <c:v>40266</c:v>
                </c:pt>
                <c:pt idx="25">
                  <c:v>40267</c:v>
                </c:pt>
                <c:pt idx="26">
                  <c:v>40268</c:v>
                </c:pt>
                <c:pt idx="27">
                  <c:v>40269</c:v>
                </c:pt>
                <c:pt idx="28">
                  <c:v>40270</c:v>
                </c:pt>
                <c:pt idx="29">
                  <c:v>40273</c:v>
                </c:pt>
                <c:pt idx="30">
                  <c:v>40274</c:v>
                </c:pt>
                <c:pt idx="31">
                  <c:v>40275</c:v>
                </c:pt>
                <c:pt idx="32">
                  <c:v>40276</c:v>
                </c:pt>
                <c:pt idx="33">
                  <c:v>40277</c:v>
                </c:pt>
                <c:pt idx="34">
                  <c:v>40280</c:v>
                </c:pt>
                <c:pt idx="35">
                  <c:v>40281</c:v>
                </c:pt>
                <c:pt idx="36">
                  <c:v>40282</c:v>
                </c:pt>
                <c:pt idx="37">
                  <c:v>40283</c:v>
                </c:pt>
                <c:pt idx="38">
                  <c:v>40284</c:v>
                </c:pt>
                <c:pt idx="39">
                  <c:v>40287</c:v>
                </c:pt>
                <c:pt idx="40">
                  <c:v>40288</c:v>
                </c:pt>
                <c:pt idx="41">
                  <c:v>40289</c:v>
                </c:pt>
                <c:pt idx="42">
                  <c:v>40290</c:v>
                </c:pt>
                <c:pt idx="43">
                  <c:v>40294</c:v>
                </c:pt>
                <c:pt idx="44">
                  <c:v>40295</c:v>
                </c:pt>
                <c:pt idx="45">
                  <c:v>40296</c:v>
                </c:pt>
                <c:pt idx="46">
                  <c:v>40297</c:v>
                </c:pt>
                <c:pt idx="47">
                  <c:v>40298</c:v>
                </c:pt>
                <c:pt idx="48">
                  <c:v>40301</c:v>
                </c:pt>
                <c:pt idx="49">
                  <c:v>40302</c:v>
                </c:pt>
                <c:pt idx="50">
                  <c:v>40303</c:v>
                </c:pt>
                <c:pt idx="51">
                  <c:v>40304</c:v>
                </c:pt>
                <c:pt idx="52">
                  <c:v>40305</c:v>
                </c:pt>
                <c:pt idx="53">
                  <c:v>40308</c:v>
                </c:pt>
                <c:pt idx="54">
                  <c:v>40309</c:v>
                </c:pt>
                <c:pt idx="55">
                  <c:v>40310</c:v>
                </c:pt>
                <c:pt idx="56">
                  <c:v>40311</c:v>
                </c:pt>
                <c:pt idx="57">
                  <c:v>40312</c:v>
                </c:pt>
                <c:pt idx="58">
                  <c:v>40315</c:v>
                </c:pt>
                <c:pt idx="59">
                  <c:v>40316</c:v>
                </c:pt>
                <c:pt idx="60">
                  <c:v>40318</c:v>
                </c:pt>
                <c:pt idx="61">
                  <c:v>40319</c:v>
                </c:pt>
                <c:pt idx="62">
                  <c:v>40322</c:v>
                </c:pt>
                <c:pt idx="63">
                  <c:v>40323</c:v>
                </c:pt>
                <c:pt idx="64">
                  <c:v>40324</c:v>
                </c:pt>
                <c:pt idx="65">
                  <c:v>40325</c:v>
                </c:pt>
                <c:pt idx="66">
                  <c:v>40326</c:v>
                </c:pt>
                <c:pt idx="67">
                  <c:v>40329</c:v>
                </c:pt>
                <c:pt idx="68">
                  <c:v>40330</c:v>
                </c:pt>
                <c:pt idx="69">
                  <c:v>40331</c:v>
                </c:pt>
                <c:pt idx="70">
                  <c:v>40332</c:v>
                </c:pt>
                <c:pt idx="71">
                  <c:v>40333</c:v>
                </c:pt>
                <c:pt idx="72">
                  <c:v>40336</c:v>
                </c:pt>
                <c:pt idx="73">
                  <c:v>40337</c:v>
                </c:pt>
                <c:pt idx="74">
                  <c:v>40338</c:v>
                </c:pt>
                <c:pt idx="75">
                  <c:v>40339</c:v>
                </c:pt>
                <c:pt idx="76">
                  <c:v>40340</c:v>
                </c:pt>
                <c:pt idx="77">
                  <c:v>40343</c:v>
                </c:pt>
                <c:pt idx="78">
                  <c:v>40344</c:v>
                </c:pt>
                <c:pt idx="79">
                  <c:v>40345</c:v>
                </c:pt>
                <c:pt idx="80">
                  <c:v>40346</c:v>
                </c:pt>
                <c:pt idx="81">
                  <c:v>40347</c:v>
                </c:pt>
                <c:pt idx="82">
                  <c:v>40350</c:v>
                </c:pt>
                <c:pt idx="83">
                  <c:v>40351</c:v>
                </c:pt>
                <c:pt idx="84">
                  <c:v>40352</c:v>
                </c:pt>
                <c:pt idx="85">
                  <c:v>40353</c:v>
                </c:pt>
                <c:pt idx="86">
                  <c:v>40354</c:v>
                </c:pt>
                <c:pt idx="87">
                  <c:v>40357</c:v>
                </c:pt>
                <c:pt idx="88">
                  <c:v>40358</c:v>
                </c:pt>
                <c:pt idx="89">
                  <c:v>40359</c:v>
                </c:pt>
                <c:pt idx="90">
                  <c:v>40360</c:v>
                </c:pt>
                <c:pt idx="91">
                  <c:v>40361</c:v>
                </c:pt>
                <c:pt idx="92">
                  <c:v>40364</c:v>
                </c:pt>
                <c:pt idx="93">
                  <c:v>40365</c:v>
                </c:pt>
                <c:pt idx="94">
                  <c:v>40366</c:v>
                </c:pt>
                <c:pt idx="95">
                  <c:v>40367</c:v>
                </c:pt>
                <c:pt idx="96">
                  <c:v>40368</c:v>
                </c:pt>
                <c:pt idx="97">
                  <c:v>40371</c:v>
                </c:pt>
                <c:pt idx="98">
                  <c:v>40372</c:v>
                </c:pt>
                <c:pt idx="99">
                  <c:v>40373</c:v>
                </c:pt>
                <c:pt idx="100">
                  <c:v>40374</c:v>
                </c:pt>
                <c:pt idx="101">
                  <c:v>40375</c:v>
                </c:pt>
                <c:pt idx="102">
                  <c:v>40378</c:v>
                </c:pt>
                <c:pt idx="103">
                  <c:v>40379</c:v>
                </c:pt>
                <c:pt idx="104">
                  <c:v>40380</c:v>
                </c:pt>
                <c:pt idx="105">
                  <c:v>40381</c:v>
                </c:pt>
                <c:pt idx="106">
                  <c:v>40382</c:v>
                </c:pt>
                <c:pt idx="107">
                  <c:v>40385</c:v>
                </c:pt>
                <c:pt idx="108">
                  <c:v>40386</c:v>
                </c:pt>
                <c:pt idx="109">
                  <c:v>40387</c:v>
                </c:pt>
                <c:pt idx="110">
                  <c:v>40388</c:v>
                </c:pt>
                <c:pt idx="111">
                  <c:v>40389</c:v>
                </c:pt>
                <c:pt idx="112">
                  <c:v>40392</c:v>
                </c:pt>
                <c:pt idx="113">
                  <c:v>40393</c:v>
                </c:pt>
                <c:pt idx="114">
                  <c:v>40394</c:v>
                </c:pt>
                <c:pt idx="115">
                  <c:v>40395</c:v>
                </c:pt>
                <c:pt idx="116">
                  <c:v>40396</c:v>
                </c:pt>
                <c:pt idx="117">
                  <c:v>40399</c:v>
                </c:pt>
                <c:pt idx="118">
                  <c:v>40400</c:v>
                </c:pt>
                <c:pt idx="119">
                  <c:v>40401</c:v>
                </c:pt>
                <c:pt idx="120">
                  <c:v>40402</c:v>
                </c:pt>
                <c:pt idx="121">
                  <c:v>40403</c:v>
                </c:pt>
                <c:pt idx="122">
                  <c:v>40406</c:v>
                </c:pt>
                <c:pt idx="123">
                  <c:v>40407</c:v>
                </c:pt>
                <c:pt idx="124">
                  <c:v>40408</c:v>
                </c:pt>
                <c:pt idx="125">
                  <c:v>40409</c:v>
                </c:pt>
                <c:pt idx="126">
                  <c:v>40410</c:v>
                </c:pt>
                <c:pt idx="127">
                  <c:v>40413</c:v>
                </c:pt>
                <c:pt idx="128">
                  <c:v>40414</c:v>
                </c:pt>
                <c:pt idx="129">
                  <c:v>40415</c:v>
                </c:pt>
                <c:pt idx="130">
                  <c:v>40416</c:v>
                </c:pt>
                <c:pt idx="131">
                  <c:v>40417</c:v>
                </c:pt>
                <c:pt idx="132">
                  <c:v>40421</c:v>
                </c:pt>
                <c:pt idx="133">
                  <c:v>40422</c:v>
                </c:pt>
                <c:pt idx="134">
                  <c:v>40423</c:v>
                </c:pt>
                <c:pt idx="135">
                  <c:v>40424</c:v>
                </c:pt>
                <c:pt idx="136">
                  <c:v>40427</c:v>
                </c:pt>
                <c:pt idx="137">
                  <c:v>40428</c:v>
                </c:pt>
                <c:pt idx="138">
                  <c:v>40429</c:v>
                </c:pt>
                <c:pt idx="139">
                  <c:v>40434</c:v>
                </c:pt>
                <c:pt idx="140">
                  <c:v>40435</c:v>
                </c:pt>
                <c:pt idx="141">
                  <c:v>40436</c:v>
                </c:pt>
                <c:pt idx="142">
                  <c:v>40437</c:v>
                </c:pt>
                <c:pt idx="143">
                  <c:v>40438</c:v>
                </c:pt>
                <c:pt idx="144">
                  <c:v>40441</c:v>
                </c:pt>
                <c:pt idx="145">
                  <c:v>40442</c:v>
                </c:pt>
                <c:pt idx="146">
                  <c:v>40443</c:v>
                </c:pt>
                <c:pt idx="147">
                  <c:v>40444</c:v>
                </c:pt>
                <c:pt idx="148">
                  <c:v>40445</c:v>
                </c:pt>
                <c:pt idx="149">
                  <c:v>40448</c:v>
                </c:pt>
                <c:pt idx="150">
                  <c:v>40449</c:v>
                </c:pt>
                <c:pt idx="151">
                  <c:v>40450</c:v>
                </c:pt>
                <c:pt idx="152">
                  <c:v>40451</c:v>
                </c:pt>
                <c:pt idx="153">
                  <c:v>40452</c:v>
                </c:pt>
                <c:pt idx="154">
                  <c:v>40455</c:v>
                </c:pt>
                <c:pt idx="155">
                  <c:v>40456</c:v>
                </c:pt>
                <c:pt idx="156">
                  <c:v>40457</c:v>
                </c:pt>
                <c:pt idx="157">
                  <c:v>40458</c:v>
                </c:pt>
                <c:pt idx="158">
                  <c:v>40459</c:v>
                </c:pt>
                <c:pt idx="159">
                  <c:v>40462</c:v>
                </c:pt>
                <c:pt idx="160">
                  <c:v>40463</c:v>
                </c:pt>
                <c:pt idx="161">
                  <c:v>40464</c:v>
                </c:pt>
                <c:pt idx="162">
                  <c:v>40465</c:v>
                </c:pt>
                <c:pt idx="163">
                  <c:v>40466</c:v>
                </c:pt>
                <c:pt idx="164">
                  <c:v>40469</c:v>
                </c:pt>
                <c:pt idx="165">
                  <c:v>40470</c:v>
                </c:pt>
                <c:pt idx="166">
                  <c:v>40471</c:v>
                </c:pt>
                <c:pt idx="167">
                  <c:v>40472</c:v>
                </c:pt>
                <c:pt idx="168">
                  <c:v>40473</c:v>
                </c:pt>
                <c:pt idx="169">
                  <c:v>40476</c:v>
                </c:pt>
                <c:pt idx="170">
                  <c:v>40477</c:v>
                </c:pt>
                <c:pt idx="171">
                  <c:v>40478</c:v>
                </c:pt>
                <c:pt idx="172">
                  <c:v>40483</c:v>
                </c:pt>
                <c:pt idx="173">
                  <c:v>40484</c:v>
                </c:pt>
                <c:pt idx="174">
                  <c:v>40485</c:v>
                </c:pt>
                <c:pt idx="175">
                  <c:v>40486</c:v>
                </c:pt>
                <c:pt idx="176">
                  <c:v>40487</c:v>
                </c:pt>
                <c:pt idx="177">
                  <c:v>40490</c:v>
                </c:pt>
                <c:pt idx="178">
                  <c:v>40491</c:v>
                </c:pt>
                <c:pt idx="179">
                  <c:v>40492</c:v>
                </c:pt>
                <c:pt idx="180">
                  <c:v>40493</c:v>
                </c:pt>
                <c:pt idx="181">
                  <c:v>40494</c:v>
                </c:pt>
                <c:pt idx="182">
                  <c:v>40497</c:v>
                </c:pt>
                <c:pt idx="183">
                  <c:v>40504</c:v>
                </c:pt>
                <c:pt idx="184">
                  <c:v>40505</c:v>
                </c:pt>
                <c:pt idx="185">
                  <c:v>40506</c:v>
                </c:pt>
                <c:pt idx="186">
                  <c:v>40507</c:v>
                </c:pt>
                <c:pt idx="187">
                  <c:v>40508</c:v>
                </c:pt>
                <c:pt idx="188">
                  <c:v>40511</c:v>
                </c:pt>
                <c:pt idx="189">
                  <c:v>40512</c:v>
                </c:pt>
                <c:pt idx="190">
                  <c:v>40513</c:v>
                </c:pt>
                <c:pt idx="191">
                  <c:v>40514</c:v>
                </c:pt>
                <c:pt idx="192">
                  <c:v>40515</c:v>
                </c:pt>
                <c:pt idx="193">
                  <c:v>40518</c:v>
                </c:pt>
                <c:pt idx="194">
                  <c:v>40519</c:v>
                </c:pt>
                <c:pt idx="195">
                  <c:v>40520</c:v>
                </c:pt>
                <c:pt idx="196">
                  <c:v>40521</c:v>
                </c:pt>
                <c:pt idx="197">
                  <c:v>40522</c:v>
                </c:pt>
                <c:pt idx="198">
                  <c:v>40525</c:v>
                </c:pt>
                <c:pt idx="199">
                  <c:v>40526</c:v>
                </c:pt>
                <c:pt idx="200">
                  <c:v>40527</c:v>
                </c:pt>
                <c:pt idx="201">
                  <c:v>40528</c:v>
                </c:pt>
                <c:pt idx="202">
                  <c:v>40529</c:v>
                </c:pt>
                <c:pt idx="203">
                  <c:v>40532</c:v>
                </c:pt>
                <c:pt idx="204">
                  <c:v>40533</c:v>
                </c:pt>
                <c:pt idx="205">
                  <c:v>40534</c:v>
                </c:pt>
                <c:pt idx="206">
                  <c:v>40535</c:v>
                </c:pt>
                <c:pt idx="207">
                  <c:v>40536</c:v>
                </c:pt>
                <c:pt idx="208">
                  <c:v>40539</c:v>
                </c:pt>
                <c:pt idx="209">
                  <c:v>40540</c:v>
                </c:pt>
                <c:pt idx="210">
                  <c:v>40541</c:v>
                </c:pt>
                <c:pt idx="211">
                  <c:v>40542</c:v>
                </c:pt>
                <c:pt idx="212">
                  <c:v>40543</c:v>
                </c:pt>
                <c:pt idx="213">
                  <c:v>40546</c:v>
                </c:pt>
                <c:pt idx="214">
                  <c:v>40547</c:v>
                </c:pt>
                <c:pt idx="215">
                  <c:v>40548</c:v>
                </c:pt>
                <c:pt idx="216">
                  <c:v>40549</c:v>
                </c:pt>
                <c:pt idx="217">
                  <c:v>40550</c:v>
                </c:pt>
                <c:pt idx="218">
                  <c:v>40553</c:v>
                </c:pt>
                <c:pt idx="219">
                  <c:v>40554</c:v>
                </c:pt>
                <c:pt idx="220">
                  <c:v>40555</c:v>
                </c:pt>
                <c:pt idx="221">
                  <c:v>40556</c:v>
                </c:pt>
                <c:pt idx="222">
                  <c:v>40557</c:v>
                </c:pt>
                <c:pt idx="223">
                  <c:v>40560</c:v>
                </c:pt>
                <c:pt idx="224">
                  <c:v>40561</c:v>
                </c:pt>
                <c:pt idx="225">
                  <c:v>40562</c:v>
                </c:pt>
                <c:pt idx="226">
                  <c:v>40563</c:v>
                </c:pt>
                <c:pt idx="227">
                  <c:v>40564</c:v>
                </c:pt>
                <c:pt idx="228">
                  <c:v>40567</c:v>
                </c:pt>
                <c:pt idx="229">
                  <c:v>40568</c:v>
                </c:pt>
                <c:pt idx="230">
                  <c:v>40569</c:v>
                </c:pt>
                <c:pt idx="231">
                  <c:v>40570</c:v>
                </c:pt>
                <c:pt idx="232">
                  <c:v>40571</c:v>
                </c:pt>
                <c:pt idx="233">
                  <c:v>40574</c:v>
                </c:pt>
                <c:pt idx="234">
                  <c:v>40575</c:v>
                </c:pt>
                <c:pt idx="235">
                  <c:v>40576</c:v>
                </c:pt>
                <c:pt idx="236">
                  <c:v>40577</c:v>
                </c:pt>
                <c:pt idx="237">
                  <c:v>40578</c:v>
                </c:pt>
                <c:pt idx="238">
                  <c:v>40581</c:v>
                </c:pt>
                <c:pt idx="239">
                  <c:v>40582</c:v>
                </c:pt>
                <c:pt idx="240">
                  <c:v>40583</c:v>
                </c:pt>
                <c:pt idx="241">
                  <c:v>40584</c:v>
                </c:pt>
                <c:pt idx="242">
                  <c:v>40585</c:v>
                </c:pt>
                <c:pt idx="243">
                  <c:v>40588</c:v>
                </c:pt>
                <c:pt idx="244">
                  <c:v>40589</c:v>
                </c:pt>
                <c:pt idx="245">
                  <c:v>40590</c:v>
                </c:pt>
                <c:pt idx="246">
                  <c:v>40591</c:v>
                </c:pt>
                <c:pt idx="247">
                  <c:v>40592</c:v>
                </c:pt>
                <c:pt idx="248">
                  <c:v>40595</c:v>
                </c:pt>
                <c:pt idx="249">
                  <c:v>40596</c:v>
                </c:pt>
              </c:numCache>
            </c:numRef>
          </c:cat>
          <c:val>
            <c:numRef>
              <c:f>prueba!$L$3:$L$252</c:f>
              <c:numCache>
                <c:formatCode>General</c:formatCode>
                <c:ptCount val="250"/>
                <c:pt idx="0">
                  <c:v>-6.1182484650752055E-3</c:v>
                </c:pt>
                <c:pt idx="1">
                  <c:v>-2.1769067162514615E-3</c:v>
                </c:pt>
                <c:pt idx="2">
                  <c:v>-1.6482657708252215E-2</c:v>
                </c:pt>
                <c:pt idx="3">
                  <c:v>1.494663235393822E-2</c:v>
                </c:pt>
                <c:pt idx="4">
                  <c:v>1.9612445182218774E-2</c:v>
                </c:pt>
                <c:pt idx="5">
                  <c:v>1.0971679928915578E-2</c:v>
                </c:pt>
                <c:pt idx="6">
                  <c:v>9.6978853340859705E-3</c:v>
                </c:pt>
                <c:pt idx="7">
                  <c:v>-3.2430911733511984E-3</c:v>
                </c:pt>
                <c:pt idx="8">
                  <c:v>1.9781669291794403E-2</c:v>
                </c:pt>
                <c:pt idx="9">
                  <c:v>1.3847629180724545E-2</c:v>
                </c:pt>
                <c:pt idx="10">
                  <c:v>-1.9604505151566399E-3</c:v>
                </c:pt>
                <c:pt idx="11">
                  <c:v>7.748210094575202E-3</c:v>
                </c:pt>
                <c:pt idx="12">
                  <c:v>-1.7134529949376942E-3</c:v>
                </c:pt>
                <c:pt idx="13">
                  <c:v>4.7513454782453293E-3</c:v>
                </c:pt>
                <c:pt idx="14">
                  <c:v>-8.8663011998649007E-3</c:v>
                </c:pt>
                <c:pt idx="15">
                  <c:v>1.0801642785830271E-2</c:v>
                </c:pt>
                <c:pt idx="16">
                  <c:v>1.8915083353781198E-2</c:v>
                </c:pt>
                <c:pt idx="17">
                  <c:v>-2.6165171630837146E-3</c:v>
                </c:pt>
                <c:pt idx="18">
                  <c:v>9.8204635975209583E-4</c:v>
                </c:pt>
                <c:pt idx="19">
                  <c:v>-6.5449457534564777E-3</c:v>
                </c:pt>
                <c:pt idx="20">
                  <c:v>6.8781653035791916E-3</c:v>
                </c:pt>
                <c:pt idx="21">
                  <c:v>1.0987416236466476E-3</c:v>
                </c:pt>
                <c:pt idx="22">
                  <c:v>8.2065681482236391E-3</c:v>
                </c:pt>
                <c:pt idx="23">
                  <c:v>3.7921101239947559E-3</c:v>
                </c:pt>
                <c:pt idx="24">
                  <c:v>3.5073962546011118E-3</c:v>
                </c:pt>
                <c:pt idx="25">
                  <c:v>3.8886467205297716E-3</c:v>
                </c:pt>
                <c:pt idx="26">
                  <c:v>-4.226867459565244E-3</c:v>
                </c:pt>
                <c:pt idx="27">
                  <c:v>1.9714421673896223E-2</c:v>
                </c:pt>
                <c:pt idx="28">
                  <c:v>2.4593770210673874E-4</c:v>
                </c:pt>
                <c:pt idx="29">
                  <c:v>5.7904274449934491E-3</c:v>
                </c:pt>
                <c:pt idx="30">
                  <c:v>1.0617913791458974E-2</c:v>
                </c:pt>
                <c:pt idx="31">
                  <c:v>2.1144998645632523E-3</c:v>
                </c:pt>
                <c:pt idx="32">
                  <c:v>-1.2330448473106494E-2</c:v>
                </c:pt>
                <c:pt idx="33">
                  <c:v>1.698908376000538E-2</c:v>
                </c:pt>
                <c:pt idx="34">
                  <c:v>2.2034159708791781E-3</c:v>
                </c:pt>
                <c:pt idx="35">
                  <c:v>-5.8394493360353159E-3</c:v>
                </c:pt>
                <c:pt idx="36">
                  <c:v>1.280904468759248E-2</c:v>
                </c:pt>
                <c:pt idx="37">
                  <c:v>5.3783447086961419E-3</c:v>
                </c:pt>
                <c:pt idx="38">
                  <c:v>-1.8542507327676427E-2</c:v>
                </c:pt>
                <c:pt idx="39">
                  <c:v>-1.7335414576233776E-2</c:v>
                </c:pt>
                <c:pt idx="40">
                  <c:v>1.7290700104500768E-2</c:v>
                </c:pt>
                <c:pt idx="41">
                  <c:v>-3.3778961144660452E-4</c:v>
                </c:pt>
                <c:pt idx="42">
                  <c:v>-1.1220264340305271E-2</c:v>
                </c:pt>
                <c:pt idx="43">
                  <c:v>2.1034748493724088E-2</c:v>
                </c:pt>
                <c:pt idx="44">
                  <c:v>-2.1038884846986922E-2</c:v>
                </c:pt>
                <c:pt idx="45">
                  <c:v>-2.0290850633099822E-2</c:v>
                </c:pt>
                <c:pt idx="46">
                  <c:v>1.1618272250237071E-2</c:v>
                </c:pt>
                <c:pt idx="47">
                  <c:v>3.0315769665661837E-3</c:v>
                </c:pt>
                <c:pt idx="48">
                  <c:v>8.582246987719009E-3</c:v>
                </c:pt>
                <c:pt idx="49">
                  <c:v>-3.7469558207372668E-2</c:v>
                </c:pt>
                <c:pt idx="50">
                  <c:v>-2.1861936590409446E-2</c:v>
                </c:pt>
                <c:pt idx="51">
                  <c:v>-2.2877805194883194E-2</c:v>
                </c:pt>
                <c:pt idx="52">
                  <c:v>-3.7441399638360753E-2</c:v>
                </c:pt>
                <c:pt idx="53">
                  <c:v>6.9240217514656449E-2</c:v>
                </c:pt>
                <c:pt idx="54">
                  <c:v>-6.1230780630085069E-3</c:v>
                </c:pt>
                <c:pt idx="55">
                  <c:v>1.3834916023281506E-2</c:v>
                </c:pt>
                <c:pt idx="56">
                  <c:v>5.7493302495465904E-3</c:v>
                </c:pt>
                <c:pt idx="57">
                  <c:v>-2.9039700867064699E-2</c:v>
                </c:pt>
                <c:pt idx="58">
                  <c:v>-1.178770774580944E-2</c:v>
                </c:pt>
                <c:pt idx="59">
                  <c:v>1.6127756324434465E-2</c:v>
                </c:pt>
                <c:pt idx="60">
                  <c:v>-5.5648218450635806E-2</c:v>
                </c:pt>
                <c:pt idx="61">
                  <c:v>-6.2491134525559204E-3</c:v>
                </c:pt>
                <c:pt idx="62">
                  <c:v>3.1257835183394248E-3</c:v>
                </c:pt>
                <c:pt idx="63">
                  <c:v>-3.9221160261345041E-2</c:v>
                </c:pt>
                <c:pt idx="64">
                  <c:v>2.7668307386187835E-2</c:v>
                </c:pt>
                <c:pt idx="65">
                  <c:v>3.061193161014103E-2</c:v>
                </c:pt>
                <c:pt idx="66">
                  <c:v>6.9514775143158618E-3</c:v>
                </c:pt>
                <c:pt idx="67">
                  <c:v>5.6110339426124079E-3</c:v>
                </c:pt>
                <c:pt idx="68">
                  <c:v>-1.2269556646350257E-2</c:v>
                </c:pt>
                <c:pt idx="69">
                  <c:v>4.6005175105504181E-3</c:v>
                </c:pt>
                <c:pt idx="70">
                  <c:v>2.8210657906446675E-2</c:v>
                </c:pt>
                <c:pt idx="71">
                  <c:v>-2.5631248356293053E-2</c:v>
                </c:pt>
                <c:pt idx="72">
                  <c:v>-2.176638547496678E-2</c:v>
                </c:pt>
                <c:pt idx="73">
                  <c:v>-4.1761405377167375E-3</c:v>
                </c:pt>
                <c:pt idx="74">
                  <c:v>1.3277229006321447E-2</c:v>
                </c:pt>
                <c:pt idx="75">
                  <c:v>2.0753642757394324E-2</c:v>
                </c:pt>
                <c:pt idx="76">
                  <c:v>1.4575910798281798E-2</c:v>
                </c:pt>
                <c:pt idx="77">
                  <c:v>1.8559091961493017E-2</c:v>
                </c:pt>
                <c:pt idx="78">
                  <c:v>1.2994036627005859E-2</c:v>
                </c:pt>
                <c:pt idx="79">
                  <c:v>2.95833874782582E-3</c:v>
                </c:pt>
                <c:pt idx="80">
                  <c:v>5.0525533561669115E-3</c:v>
                </c:pt>
                <c:pt idx="81">
                  <c:v>6.9758426597374083E-3</c:v>
                </c:pt>
                <c:pt idx="82">
                  <c:v>2.2629176040473195E-2</c:v>
                </c:pt>
                <c:pt idx="83">
                  <c:v>-1.3050289947963725E-2</c:v>
                </c:pt>
                <c:pt idx="84">
                  <c:v>-1.1841053330566117E-2</c:v>
                </c:pt>
                <c:pt idx="85">
                  <c:v>-1.4050353815681727E-2</c:v>
                </c:pt>
                <c:pt idx="86">
                  <c:v>-9.1245295305093215E-3</c:v>
                </c:pt>
                <c:pt idx="87">
                  <c:v>1.0043493234942226E-2</c:v>
                </c:pt>
                <c:pt idx="88">
                  <c:v>-3.5704350943575269E-2</c:v>
                </c:pt>
                <c:pt idx="89">
                  <c:v>-1.5910782295710233E-3</c:v>
                </c:pt>
                <c:pt idx="90">
                  <c:v>-2.1469577206802388E-2</c:v>
                </c:pt>
                <c:pt idx="91">
                  <c:v>1.5665573528576939E-3</c:v>
                </c:pt>
                <c:pt idx="92">
                  <c:v>1.8482466870600978E-3</c:v>
                </c:pt>
                <c:pt idx="93">
                  <c:v>2.4931971999910145E-2</c:v>
                </c:pt>
                <c:pt idx="94">
                  <c:v>1.0259143340882321E-2</c:v>
                </c:pt>
                <c:pt idx="95">
                  <c:v>1.5574754839323071E-2</c:v>
                </c:pt>
                <c:pt idx="96">
                  <c:v>1.7139679377233298E-2</c:v>
                </c:pt>
                <c:pt idx="97">
                  <c:v>4.2945220705376784E-3</c:v>
                </c:pt>
                <c:pt idx="98">
                  <c:v>1.378492958705691E-2</c:v>
                </c:pt>
                <c:pt idx="99">
                  <c:v>8.4563432719582231E-3</c:v>
                </c:pt>
                <c:pt idx="100">
                  <c:v>-9.683868877131999E-3</c:v>
                </c:pt>
                <c:pt idx="101">
                  <c:v>-1.7485161982869122E-2</c:v>
                </c:pt>
                <c:pt idx="102">
                  <c:v>-5.2799120998189755E-3</c:v>
                </c:pt>
                <c:pt idx="103">
                  <c:v>2.7229506191643799E-3</c:v>
                </c:pt>
                <c:pt idx="104">
                  <c:v>1.0927926729248517E-2</c:v>
                </c:pt>
                <c:pt idx="105">
                  <c:v>1.7208763842590766E-2</c:v>
                </c:pt>
                <c:pt idx="106">
                  <c:v>9.1880315033085035E-3</c:v>
                </c:pt>
                <c:pt idx="107">
                  <c:v>8.7297843639907724E-3</c:v>
                </c:pt>
                <c:pt idx="108">
                  <c:v>6.7341085587763628E-3</c:v>
                </c:pt>
                <c:pt idx="109">
                  <c:v>1.407987844439974E-3</c:v>
                </c:pt>
                <c:pt idx="110">
                  <c:v>-1.3846160662540703E-3</c:v>
                </c:pt>
                <c:pt idx="111">
                  <c:v>-8.0664095897785264E-3</c:v>
                </c:pt>
                <c:pt idx="112">
                  <c:v>2.9579735840302438E-2</c:v>
                </c:pt>
                <c:pt idx="113">
                  <c:v>1.2935409530254586E-3</c:v>
                </c:pt>
                <c:pt idx="114">
                  <c:v>2.3778422439052591E-3</c:v>
                </c:pt>
                <c:pt idx="115">
                  <c:v>3.1873932285696269E-4</c:v>
                </c:pt>
                <c:pt idx="116">
                  <c:v>-7.2422686785066966E-3</c:v>
                </c:pt>
                <c:pt idx="117">
                  <c:v>1.2654696287409553E-2</c:v>
                </c:pt>
                <c:pt idx="118">
                  <c:v>-1.141988100359448E-2</c:v>
                </c:pt>
                <c:pt idx="119">
                  <c:v>-2.702701980406972E-2</c:v>
                </c:pt>
                <c:pt idx="120">
                  <c:v>-7.2603529290079256E-3</c:v>
                </c:pt>
                <c:pt idx="121">
                  <c:v>3.5242107063230455E-3</c:v>
                </c:pt>
                <c:pt idx="122">
                  <c:v>1.0950187844224065E-3</c:v>
                </c:pt>
                <c:pt idx="123">
                  <c:v>1.138225860158828E-2</c:v>
                </c:pt>
                <c:pt idx="124">
                  <c:v>1.4603187062624523E-3</c:v>
                </c:pt>
                <c:pt idx="125">
                  <c:v>-4.7976861615501593E-3</c:v>
                </c:pt>
                <c:pt idx="126">
                  <c:v>-1.0732304750055321E-2</c:v>
                </c:pt>
                <c:pt idx="127">
                  <c:v>4.577493639011606E-3</c:v>
                </c:pt>
                <c:pt idx="128">
                  <c:v>-1.6810884562475349E-2</c:v>
                </c:pt>
                <c:pt idx="129">
                  <c:v>-1.2896122814340027E-2</c:v>
                </c:pt>
                <c:pt idx="130">
                  <c:v>9.1219021288631678E-3</c:v>
                </c:pt>
                <c:pt idx="131">
                  <c:v>6.1725888804298589E-3</c:v>
                </c:pt>
                <c:pt idx="132">
                  <c:v>3.3184506889871127E-4</c:v>
                </c:pt>
                <c:pt idx="133">
                  <c:v>2.944060279172548E-2</c:v>
                </c:pt>
                <c:pt idx="134">
                  <c:v>8.8967731758346161E-3</c:v>
                </c:pt>
                <c:pt idx="135">
                  <c:v>1.4051311459371709E-2</c:v>
                </c:pt>
                <c:pt idx="136">
                  <c:v>9.0076137194430098E-3</c:v>
                </c:pt>
                <c:pt idx="137">
                  <c:v>-5.1766222353385981E-3</c:v>
                </c:pt>
                <c:pt idx="138">
                  <c:v>1.4432155675939695E-3</c:v>
                </c:pt>
                <c:pt idx="139">
                  <c:v>3.1127895093570317E-2</c:v>
                </c:pt>
                <c:pt idx="140">
                  <c:v>2.5920365376248785E-3</c:v>
                </c:pt>
                <c:pt idx="141">
                  <c:v>2.1393497954404176E-3</c:v>
                </c:pt>
                <c:pt idx="142">
                  <c:v>-4.1207671787267756E-3</c:v>
                </c:pt>
                <c:pt idx="143">
                  <c:v>5.3407195923854643E-3</c:v>
                </c:pt>
                <c:pt idx="144">
                  <c:v>1.2148540164301331E-2</c:v>
                </c:pt>
                <c:pt idx="145">
                  <c:v>3.1764228494450017E-3</c:v>
                </c:pt>
                <c:pt idx="146">
                  <c:v>-9.7933549540849332E-3</c:v>
                </c:pt>
                <c:pt idx="147">
                  <c:v>-7.1458497398077508E-3</c:v>
                </c:pt>
                <c:pt idx="148">
                  <c:v>1.7480200277457014E-2</c:v>
                </c:pt>
                <c:pt idx="149">
                  <c:v>9.4141860276813474E-4</c:v>
                </c:pt>
                <c:pt idx="150">
                  <c:v>-1.7075413394039489E-3</c:v>
                </c:pt>
                <c:pt idx="151">
                  <c:v>4.2151946135451507E-3</c:v>
                </c:pt>
                <c:pt idx="152">
                  <c:v>1.6857254157615392E-3</c:v>
                </c:pt>
                <c:pt idx="153">
                  <c:v>2.2802008272987699E-4</c:v>
                </c:pt>
                <c:pt idx="154">
                  <c:v>-1.0920201259180802E-3</c:v>
                </c:pt>
                <c:pt idx="155">
                  <c:v>1.4934887662387116E-2</c:v>
                </c:pt>
                <c:pt idx="156">
                  <c:v>1.3608949456699274E-2</c:v>
                </c:pt>
                <c:pt idx="157">
                  <c:v>-5.0762653406443304E-5</c:v>
                </c:pt>
                <c:pt idx="158">
                  <c:v>-2.1255469015457498E-3</c:v>
                </c:pt>
                <c:pt idx="159">
                  <c:v>4.2296751576176381E-3</c:v>
                </c:pt>
                <c:pt idx="160">
                  <c:v>-7.5061937288871967E-3</c:v>
                </c:pt>
                <c:pt idx="161">
                  <c:v>2.3552024256071544E-2</c:v>
                </c:pt>
                <c:pt idx="162">
                  <c:v>4.7381132780355412E-3</c:v>
                </c:pt>
                <c:pt idx="163">
                  <c:v>-2.5677530359665569E-3</c:v>
                </c:pt>
                <c:pt idx="164">
                  <c:v>-1.7189258706097024E-3</c:v>
                </c:pt>
                <c:pt idx="165">
                  <c:v>-9.9579468299593752E-4</c:v>
                </c:pt>
                <c:pt idx="166">
                  <c:v>2.2175813107805304E-3</c:v>
                </c:pt>
                <c:pt idx="167">
                  <c:v>1.5081907682763877E-2</c:v>
                </c:pt>
                <c:pt idx="168">
                  <c:v>1.0537010105467638E-3</c:v>
                </c:pt>
                <c:pt idx="169">
                  <c:v>9.1053694532703018E-3</c:v>
                </c:pt>
                <c:pt idx="170">
                  <c:v>-4.1763937782139295E-3</c:v>
                </c:pt>
                <c:pt idx="171">
                  <c:v>-1.1247793991160037E-2</c:v>
                </c:pt>
                <c:pt idx="172">
                  <c:v>9.4652834926178594E-3</c:v>
                </c:pt>
                <c:pt idx="173">
                  <c:v>4.4521064373752627E-3</c:v>
                </c:pt>
                <c:pt idx="174">
                  <c:v>4.1096680792029779E-3</c:v>
                </c:pt>
                <c:pt idx="175">
                  <c:v>1.7553994775729539E-2</c:v>
                </c:pt>
                <c:pt idx="176">
                  <c:v>6.4621296569362247E-3</c:v>
                </c:pt>
                <c:pt idx="177">
                  <c:v>4.0301887165681031E-3</c:v>
                </c:pt>
                <c:pt idx="178">
                  <c:v>5.9211937290562285E-3</c:v>
                </c:pt>
                <c:pt idx="179">
                  <c:v>-5.3280258279919442E-3</c:v>
                </c:pt>
                <c:pt idx="180">
                  <c:v>-8.9578289430128442E-3</c:v>
                </c:pt>
                <c:pt idx="181">
                  <c:v>-1.1167299157703861E-2</c:v>
                </c:pt>
                <c:pt idx="182">
                  <c:v>8.407872068249873E-3</c:v>
                </c:pt>
                <c:pt idx="183">
                  <c:v>-3.8690172078959593E-3</c:v>
                </c:pt>
                <c:pt idx="184">
                  <c:v>-2.1921051442191999E-2</c:v>
                </c:pt>
                <c:pt idx="185">
                  <c:v>4.6862745564077123E-3</c:v>
                </c:pt>
                <c:pt idx="186">
                  <c:v>3.5859582303555703E-3</c:v>
                </c:pt>
                <c:pt idx="187">
                  <c:v>-6.6791055049600055E-3</c:v>
                </c:pt>
                <c:pt idx="188">
                  <c:v>-6.8240380124261306E-3</c:v>
                </c:pt>
                <c:pt idx="189">
                  <c:v>-9.4116306065030481E-3</c:v>
                </c:pt>
                <c:pt idx="190">
                  <c:v>2.5612746017035171E-2</c:v>
                </c:pt>
                <c:pt idx="191">
                  <c:v>2.4840906138440935E-2</c:v>
                </c:pt>
                <c:pt idx="192">
                  <c:v>3.2109495658217556E-3</c:v>
                </c:pt>
                <c:pt idx="193">
                  <c:v>2.1441464220583882E-3</c:v>
                </c:pt>
                <c:pt idx="194">
                  <c:v>8.4195981567133319E-3</c:v>
                </c:pt>
                <c:pt idx="195">
                  <c:v>3.5684796436701075E-3</c:v>
                </c:pt>
                <c:pt idx="196">
                  <c:v>6.2299445592074697E-3</c:v>
                </c:pt>
                <c:pt idx="197">
                  <c:v>-1.7358006699833874E-3</c:v>
                </c:pt>
                <c:pt idx="198">
                  <c:v>5.5439490588093162E-3</c:v>
                </c:pt>
                <c:pt idx="199">
                  <c:v>6.9935320643400162E-3</c:v>
                </c:pt>
                <c:pt idx="200">
                  <c:v>-3.899710016128649E-3</c:v>
                </c:pt>
                <c:pt idx="201">
                  <c:v>1.3579897743782677E-4</c:v>
                </c:pt>
                <c:pt idx="202">
                  <c:v>-7.5222718853335934E-4</c:v>
                </c:pt>
                <c:pt idx="203">
                  <c:v>2.7041505275253643E-3</c:v>
                </c:pt>
                <c:pt idx="204">
                  <c:v>1.4462864031089677E-2</c:v>
                </c:pt>
                <c:pt idx="205">
                  <c:v>6.9487701611585647E-4</c:v>
                </c:pt>
                <c:pt idx="206">
                  <c:v>4.2188967715413349E-4</c:v>
                </c:pt>
                <c:pt idx="207">
                  <c:v>2.8853325358674398E-3</c:v>
                </c:pt>
                <c:pt idx="208">
                  <c:v>-6.6566725654653176E-3</c:v>
                </c:pt>
                <c:pt idx="209">
                  <c:v>-1.3608645486172001E-4</c:v>
                </c:pt>
                <c:pt idx="210">
                  <c:v>7.1240369523254878E-3</c:v>
                </c:pt>
                <c:pt idx="211">
                  <c:v>-5.202893970364034E-3</c:v>
                </c:pt>
                <c:pt idx="212">
                  <c:v>6.7142242468138692E-4</c:v>
                </c:pt>
                <c:pt idx="213">
                  <c:v>1.1378692731404096E-2</c:v>
                </c:pt>
                <c:pt idx="214">
                  <c:v>1.1683653732051347E-2</c:v>
                </c:pt>
                <c:pt idx="215">
                  <c:v>-4.8332182141580544E-3</c:v>
                </c:pt>
                <c:pt idx="216">
                  <c:v>1.6471712417319589E-3</c:v>
                </c:pt>
                <c:pt idx="217">
                  <c:v>-6.3945854087833244E-3</c:v>
                </c:pt>
                <c:pt idx="218">
                  <c:v>-1.3491782380308339E-2</c:v>
                </c:pt>
                <c:pt idx="219">
                  <c:v>1.3594700867541684E-2</c:v>
                </c:pt>
                <c:pt idx="220">
                  <c:v>2.0521736134620126E-2</c:v>
                </c:pt>
                <c:pt idx="221">
                  <c:v>4.706916315272227E-3</c:v>
                </c:pt>
                <c:pt idx="222">
                  <c:v>1.9947465408314911E-3</c:v>
                </c:pt>
                <c:pt idx="223">
                  <c:v>-2.8762096645848574E-3</c:v>
                </c:pt>
                <c:pt idx="224">
                  <c:v>8.1945602678933308E-3</c:v>
                </c:pt>
                <c:pt idx="225">
                  <c:v>-4.8137222754686122E-4</c:v>
                </c:pt>
                <c:pt idx="226">
                  <c:v>-9.5696592032187416E-3</c:v>
                </c:pt>
                <c:pt idx="227">
                  <c:v>2.4834072848249453E-3</c:v>
                </c:pt>
                <c:pt idx="228">
                  <c:v>1.0860503225941036E-3</c:v>
                </c:pt>
                <c:pt idx="229">
                  <c:v>1.726350834578701E-3</c:v>
                </c:pt>
                <c:pt idx="230">
                  <c:v>9.0583202479785335E-3</c:v>
                </c:pt>
                <c:pt idx="231">
                  <c:v>5.7710227345984695E-3</c:v>
                </c:pt>
                <c:pt idx="232">
                  <c:v>-1.0684612697773847E-2</c:v>
                </c:pt>
                <c:pt idx="233">
                  <c:v>-4.4908662066589708E-3</c:v>
                </c:pt>
                <c:pt idx="234">
                  <c:v>1.2371414347159611E-2</c:v>
                </c:pt>
                <c:pt idx="235">
                  <c:v>8.9652724710658268E-3</c:v>
                </c:pt>
                <c:pt idx="236">
                  <c:v>-7.6290544227139759E-4</c:v>
                </c:pt>
                <c:pt idx="237">
                  <c:v>7.6239990843345491E-3</c:v>
                </c:pt>
                <c:pt idx="238">
                  <c:v>2.8069262977120438E-3</c:v>
                </c:pt>
                <c:pt idx="239">
                  <c:v>-3.4557041176112922E-3</c:v>
                </c:pt>
                <c:pt idx="240">
                  <c:v>-6.5792931819648008E-3</c:v>
                </c:pt>
                <c:pt idx="241">
                  <c:v>-1.7035156594983007E-2</c:v>
                </c:pt>
                <c:pt idx="242">
                  <c:v>2.7609735883463026E-3</c:v>
                </c:pt>
                <c:pt idx="243">
                  <c:v>1.0928732384625002E-2</c:v>
                </c:pt>
                <c:pt idx="244">
                  <c:v>1.4607737814374877E-3</c:v>
                </c:pt>
                <c:pt idx="245">
                  <c:v>4.1705742158338922E-3</c:v>
                </c:pt>
                <c:pt idx="246">
                  <c:v>1.6693384478839075E-3</c:v>
                </c:pt>
                <c:pt idx="247">
                  <c:v>7.1831714741891102E-3</c:v>
                </c:pt>
                <c:pt idx="248">
                  <c:v>-6.9197305670126337E-3</c:v>
                </c:pt>
                <c:pt idx="249">
                  <c:v>-1.5248768431913614E-2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10848"/>
        <c:axId val="81312384"/>
      </c:lineChart>
      <c:dateAx>
        <c:axId val="81310848"/>
        <c:scaling>
          <c:orientation val="minMax"/>
        </c:scaling>
        <c:delete val="0"/>
        <c:axPos val="b"/>
        <c:numFmt formatCode="[$-409]d\-mmm\-yy;@" sourceLinked="1"/>
        <c:majorTickMark val="none"/>
        <c:minorTickMark val="none"/>
        <c:tickLblPos val="nextTo"/>
        <c:crossAx val="81312384"/>
        <c:crosses val="autoZero"/>
        <c:auto val="1"/>
        <c:lblOffset val="100"/>
        <c:baseTimeUnit val="days"/>
      </c:dateAx>
      <c:valAx>
        <c:axId val="8131238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8131084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prueba!$K$2</c:f>
              <c:strCache>
                <c:ptCount val="1"/>
                <c:pt idx="0">
                  <c:v>ISE</c:v>
                </c:pt>
              </c:strCache>
            </c:strRef>
          </c:tx>
          <c:marker>
            <c:symbol val="none"/>
          </c:marker>
          <c:cat>
            <c:numRef>
              <c:f>prueba!$A$3:$A$252</c:f>
              <c:numCache>
                <c:formatCode>[$-409]d\-mmm\-yy;@</c:formatCode>
                <c:ptCount val="250"/>
                <c:pt idx="0">
                  <c:v>40232</c:v>
                </c:pt>
                <c:pt idx="1">
                  <c:v>40233</c:v>
                </c:pt>
                <c:pt idx="2">
                  <c:v>40234</c:v>
                </c:pt>
                <c:pt idx="3">
                  <c:v>40235</c:v>
                </c:pt>
                <c:pt idx="4">
                  <c:v>40238</c:v>
                </c:pt>
                <c:pt idx="5">
                  <c:v>40239</c:v>
                </c:pt>
                <c:pt idx="6">
                  <c:v>40240</c:v>
                </c:pt>
                <c:pt idx="7">
                  <c:v>40241</c:v>
                </c:pt>
                <c:pt idx="8">
                  <c:v>40242</c:v>
                </c:pt>
                <c:pt idx="9">
                  <c:v>40245</c:v>
                </c:pt>
                <c:pt idx="10">
                  <c:v>40246</c:v>
                </c:pt>
                <c:pt idx="11">
                  <c:v>40247</c:v>
                </c:pt>
                <c:pt idx="12">
                  <c:v>40248</c:v>
                </c:pt>
                <c:pt idx="13">
                  <c:v>40249</c:v>
                </c:pt>
                <c:pt idx="14">
                  <c:v>40252</c:v>
                </c:pt>
                <c:pt idx="15">
                  <c:v>40253</c:v>
                </c:pt>
                <c:pt idx="16">
                  <c:v>40254</c:v>
                </c:pt>
                <c:pt idx="17">
                  <c:v>40255</c:v>
                </c:pt>
                <c:pt idx="18">
                  <c:v>40256</c:v>
                </c:pt>
                <c:pt idx="19">
                  <c:v>40259</c:v>
                </c:pt>
                <c:pt idx="20">
                  <c:v>40260</c:v>
                </c:pt>
                <c:pt idx="21">
                  <c:v>40261</c:v>
                </c:pt>
                <c:pt idx="22">
                  <c:v>40262</c:v>
                </c:pt>
                <c:pt idx="23">
                  <c:v>40263</c:v>
                </c:pt>
                <c:pt idx="24">
                  <c:v>40266</c:v>
                </c:pt>
                <c:pt idx="25">
                  <c:v>40267</c:v>
                </c:pt>
                <c:pt idx="26">
                  <c:v>40268</c:v>
                </c:pt>
                <c:pt idx="27">
                  <c:v>40269</c:v>
                </c:pt>
                <c:pt idx="28">
                  <c:v>40270</c:v>
                </c:pt>
                <c:pt idx="29">
                  <c:v>40273</c:v>
                </c:pt>
                <c:pt idx="30">
                  <c:v>40274</c:v>
                </c:pt>
                <c:pt idx="31">
                  <c:v>40275</c:v>
                </c:pt>
                <c:pt idx="32">
                  <c:v>40276</c:v>
                </c:pt>
                <c:pt idx="33">
                  <c:v>40277</c:v>
                </c:pt>
                <c:pt idx="34">
                  <c:v>40280</c:v>
                </c:pt>
                <c:pt idx="35">
                  <c:v>40281</c:v>
                </c:pt>
                <c:pt idx="36">
                  <c:v>40282</c:v>
                </c:pt>
                <c:pt idx="37">
                  <c:v>40283</c:v>
                </c:pt>
                <c:pt idx="38">
                  <c:v>40284</c:v>
                </c:pt>
                <c:pt idx="39">
                  <c:v>40287</c:v>
                </c:pt>
                <c:pt idx="40">
                  <c:v>40288</c:v>
                </c:pt>
                <c:pt idx="41">
                  <c:v>40289</c:v>
                </c:pt>
                <c:pt idx="42">
                  <c:v>40290</c:v>
                </c:pt>
                <c:pt idx="43">
                  <c:v>40294</c:v>
                </c:pt>
                <c:pt idx="44">
                  <c:v>40295</c:v>
                </c:pt>
                <c:pt idx="45">
                  <c:v>40296</c:v>
                </c:pt>
                <c:pt idx="46">
                  <c:v>40297</c:v>
                </c:pt>
                <c:pt idx="47">
                  <c:v>40298</c:v>
                </c:pt>
                <c:pt idx="48">
                  <c:v>40301</c:v>
                </c:pt>
                <c:pt idx="49">
                  <c:v>40302</c:v>
                </c:pt>
                <c:pt idx="50">
                  <c:v>40303</c:v>
                </c:pt>
                <c:pt idx="51">
                  <c:v>40304</c:v>
                </c:pt>
                <c:pt idx="52">
                  <c:v>40305</c:v>
                </c:pt>
                <c:pt idx="53">
                  <c:v>40308</c:v>
                </c:pt>
                <c:pt idx="54">
                  <c:v>40309</c:v>
                </c:pt>
                <c:pt idx="55">
                  <c:v>40310</c:v>
                </c:pt>
                <c:pt idx="56">
                  <c:v>40311</c:v>
                </c:pt>
                <c:pt idx="57">
                  <c:v>40312</c:v>
                </c:pt>
                <c:pt idx="58">
                  <c:v>40315</c:v>
                </c:pt>
                <c:pt idx="59">
                  <c:v>40316</c:v>
                </c:pt>
                <c:pt idx="60">
                  <c:v>40318</c:v>
                </c:pt>
                <c:pt idx="61">
                  <c:v>40319</c:v>
                </c:pt>
                <c:pt idx="62">
                  <c:v>40322</c:v>
                </c:pt>
                <c:pt idx="63">
                  <c:v>40323</c:v>
                </c:pt>
                <c:pt idx="64">
                  <c:v>40324</c:v>
                </c:pt>
                <c:pt idx="65">
                  <c:v>40325</c:v>
                </c:pt>
                <c:pt idx="66">
                  <c:v>40326</c:v>
                </c:pt>
                <c:pt idx="67">
                  <c:v>40329</c:v>
                </c:pt>
                <c:pt idx="68">
                  <c:v>40330</c:v>
                </c:pt>
                <c:pt idx="69">
                  <c:v>40331</c:v>
                </c:pt>
                <c:pt idx="70">
                  <c:v>40332</c:v>
                </c:pt>
                <c:pt idx="71">
                  <c:v>40333</c:v>
                </c:pt>
                <c:pt idx="72">
                  <c:v>40336</c:v>
                </c:pt>
                <c:pt idx="73">
                  <c:v>40337</c:v>
                </c:pt>
                <c:pt idx="74">
                  <c:v>40338</c:v>
                </c:pt>
                <c:pt idx="75">
                  <c:v>40339</c:v>
                </c:pt>
                <c:pt idx="76">
                  <c:v>40340</c:v>
                </c:pt>
                <c:pt idx="77">
                  <c:v>40343</c:v>
                </c:pt>
                <c:pt idx="78">
                  <c:v>40344</c:v>
                </c:pt>
                <c:pt idx="79">
                  <c:v>40345</c:v>
                </c:pt>
                <c:pt idx="80">
                  <c:v>40346</c:v>
                </c:pt>
                <c:pt idx="81">
                  <c:v>40347</c:v>
                </c:pt>
                <c:pt idx="82">
                  <c:v>40350</c:v>
                </c:pt>
                <c:pt idx="83">
                  <c:v>40351</c:v>
                </c:pt>
                <c:pt idx="84">
                  <c:v>40352</c:v>
                </c:pt>
                <c:pt idx="85">
                  <c:v>40353</c:v>
                </c:pt>
                <c:pt idx="86">
                  <c:v>40354</c:v>
                </c:pt>
                <c:pt idx="87">
                  <c:v>40357</c:v>
                </c:pt>
                <c:pt idx="88">
                  <c:v>40358</c:v>
                </c:pt>
                <c:pt idx="89">
                  <c:v>40359</c:v>
                </c:pt>
                <c:pt idx="90">
                  <c:v>40360</c:v>
                </c:pt>
                <c:pt idx="91">
                  <c:v>40361</c:v>
                </c:pt>
                <c:pt idx="92">
                  <c:v>40364</c:v>
                </c:pt>
                <c:pt idx="93">
                  <c:v>40365</c:v>
                </c:pt>
                <c:pt idx="94">
                  <c:v>40366</c:v>
                </c:pt>
                <c:pt idx="95">
                  <c:v>40367</c:v>
                </c:pt>
                <c:pt idx="96">
                  <c:v>40368</c:v>
                </c:pt>
                <c:pt idx="97">
                  <c:v>40371</c:v>
                </c:pt>
                <c:pt idx="98">
                  <c:v>40372</c:v>
                </c:pt>
                <c:pt idx="99">
                  <c:v>40373</c:v>
                </c:pt>
                <c:pt idx="100">
                  <c:v>40374</c:v>
                </c:pt>
                <c:pt idx="101">
                  <c:v>40375</c:v>
                </c:pt>
                <c:pt idx="102">
                  <c:v>40378</c:v>
                </c:pt>
                <c:pt idx="103">
                  <c:v>40379</c:v>
                </c:pt>
                <c:pt idx="104">
                  <c:v>40380</c:v>
                </c:pt>
                <c:pt idx="105">
                  <c:v>40381</c:v>
                </c:pt>
                <c:pt idx="106">
                  <c:v>40382</c:v>
                </c:pt>
                <c:pt idx="107">
                  <c:v>40385</c:v>
                </c:pt>
                <c:pt idx="108">
                  <c:v>40386</c:v>
                </c:pt>
                <c:pt idx="109">
                  <c:v>40387</c:v>
                </c:pt>
                <c:pt idx="110">
                  <c:v>40388</c:v>
                </c:pt>
                <c:pt idx="111">
                  <c:v>40389</c:v>
                </c:pt>
                <c:pt idx="112">
                  <c:v>40392</c:v>
                </c:pt>
                <c:pt idx="113">
                  <c:v>40393</c:v>
                </c:pt>
                <c:pt idx="114">
                  <c:v>40394</c:v>
                </c:pt>
                <c:pt idx="115">
                  <c:v>40395</c:v>
                </c:pt>
                <c:pt idx="116">
                  <c:v>40396</c:v>
                </c:pt>
                <c:pt idx="117">
                  <c:v>40399</c:v>
                </c:pt>
                <c:pt idx="118">
                  <c:v>40400</c:v>
                </c:pt>
                <c:pt idx="119">
                  <c:v>40401</c:v>
                </c:pt>
                <c:pt idx="120">
                  <c:v>40402</c:v>
                </c:pt>
                <c:pt idx="121">
                  <c:v>40403</c:v>
                </c:pt>
                <c:pt idx="122">
                  <c:v>40406</c:v>
                </c:pt>
                <c:pt idx="123">
                  <c:v>40407</c:v>
                </c:pt>
                <c:pt idx="124">
                  <c:v>40408</c:v>
                </c:pt>
                <c:pt idx="125">
                  <c:v>40409</c:v>
                </c:pt>
                <c:pt idx="126">
                  <c:v>40410</c:v>
                </c:pt>
                <c:pt idx="127">
                  <c:v>40413</c:v>
                </c:pt>
                <c:pt idx="128">
                  <c:v>40414</c:v>
                </c:pt>
                <c:pt idx="129">
                  <c:v>40415</c:v>
                </c:pt>
                <c:pt idx="130">
                  <c:v>40416</c:v>
                </c:pt>
                <c:pt idx="131">
                  <c:v>40417</c:v>
                </c:pt>
                <c:pt idx="132">
                  <c:v>40421</c:v>
                </c:pt>
                <c:pt idx="133">
                  <c:v>40422</c:v>
                </c:pt>
                <c:pt idx="134">
                  <c:v>40423</c:v>
                </c:pt>
                <c:pt idx="135">
                  <c:v>40424</c:v>
                </c:pt>
                <c:pt idx="136">
                  <c:v>40427</c:v>
                </c:pt>
                <c:pt idx="137">
                  <c:v>40428</c:v>
                </c:pt>
                <c:pt idx="138">
                  <c:v>40429</c:v>
                </c:pt>
                <c:pt idx="139">
                  <c:v>40434</c:v>
                </c:pt>
                <c:pt idx="140">
                  <c:v>40435</c:v>
                </c:pt>
                <c:pt idx="141">
                  <c:v>40436</c:v>
                </c:pt>
                <c:pt idx="142">
                  <c:v>40437</c:v>
                </c:pt>
                <c:pt idx="143">
                  <c:v>40438</c:v>
                </c:pt>
                <c:pt idx="144">
                  <c:v>40441</c:v>
                </c:pt>
                <c:pt idx="145">
                  <c:v>40442</c:v>
                </c:pt>
                <c:pt idx="146">
                  <c:v>40443</c:v>
                </c:pt>
                <c:pt idx="147">
                  <c:v>40444</c:v>
                </c:pt>
                <c:pt idx="148">
                  <c:v>40445</c:v>
                </c:pt>
                <c:pt idx="149">
                  <c:v>40448</c:v>
                </c:pt>
                <c:pt idx="150">
                  <c:v>40449</c:v>
                </c:pt>
                <c:pt idx="151">
                  <c:v>40450</c:v>
                </c:pt>
                <c:pt idx="152">
                  <c:v>40451</c:v>
                </c:pt>
                <c:pt idx="153">
                  <c:v>40452</c:v>
                </c:pt>
                <c:pt idx="154">
                  <c:v>40455</c:v>
                </c:pt>
                <c:pt idx="155">
                  <c:v>40456</c:v>
                </c:pt>
                <c:pt idx="156">
                  <c:v>40457</c:v>
                </c:pt>
                <c:pt idx="157">
                  <c:v>40458</c:v>
                </c:pt>
                <c:pt idx="158">
                  <c:v>40459</c:v>
                </c:pt>
                <c:pt idx="159">
                  <c:v>40462</c:v>
                </c:pt>
                <c:pt idx="160">
                  <c:v>40463</c:v>
                </c:pt>
                <c:pt idx="161">
                  <c:v>40464</c:v>
                </c:pt>
                <c:pt idx="162">
                  <c:v>40465</c:v>
                </c:pt>
                <c:pt idx="163">
                  <c:v>40466</c:v>
                </c:pt>
                <c:pt idx="164">
                  <c:v>40469</c:v>
                </c:pt>
                <c:pt idx="165">
                  <c:v>40470</c:v>
                </c:pt>
                <c:pt idx="166">
                  <c:v>40471</c:v>
                </c:pt>
                <c:pt idx="167">
                  <c:v>40472</c:v>
                </c:pt>
                <c:pt idx="168">
                  <c:v>40473</c:v>
                </c:pt>
                <c:pt idx="169">
                  <c:v>40476</c:v>
                </c:pt>
                <c:pt idx="170">
                  <c:v>40477</c:v>
                </c:pt>
                <c:pt idx="171">
                  <c:v>40478</c:v>
                </c:pt>
                <c:pt idx="172">
                  <c:v>40483</c:v>
                </c:pt>
                <c:pt idx="173">
                  <c:v>40484</c:v>
                </c:pt>
                <c:pt idx="174">
                  <c:v>40485</c:v>
                </c:pt>
                <c:pt idx="175">
                  <c:v>40486</c:v>
                </c:pt>
                <c:pt idx="176">
                  <c:v>40487</c:v>
                </c:pt>
                <c:pt idx="177">
                  <c:v>40490</c:v>
                </c:pt>
                <c:pt idx="178">
                  <c:v>40491</c:v>
                </c:pt>
                <c:pt idx="179">
                  <c:v>40492</c:v>
                </c:pt>
                <c:pt idx="180">
                  <c:v>40493</c:v>
                </c:pt>
                <c:pt idx="181">
                  <c:v>40494</c:v>
                </c:pt>
                <c:pt idx="182">
                  <c:v>40497</c:v>
                </c:pt>
                <c:pt idx="183">
                  <c:v>40504</c:v>
                </c:pt>
                <c:pt idx="184">
                  <c:v>40505</c:v>
                </c:pt>
                <c:pt idx="185">
                  <c:v>40506</c:v>
                </c:pt>
                <c:pt idx="186">
                  <c:v>40507</c:v>
                </c:pt>
                <c:pt idx="187">
                  <c:v>40508</c:v>
                </c:pt>
                <c:pt idx="188">
                  <c:v>40511</c:v>
                </c:pt>
                <c:pt idx="189">
                  <c:v>40512</c:v>
                </c:pt>
                <c:pt idx="190">
                  <c:v>40513</c:v>
                </c:pt>
                <c:pt idx="191">
                  <c:v>40514</c:v>
                </c:pt>
                <c:pt idx="192">
                  <c:v>40515</c:v>
                </c:pt>
                <c:pt idx="193">
                  <c:v>40518</c:v>
                </c:pt>
                <c:pt idx="194">
                  <c:v>40519</c:v>
                </c:pt>
                <c:pt idx="195">
                  <c:v>40520</c:v>
                </c:pt>
                <c:pt idx="196">
                  <c:v>40521</c:v>
                </c:pt>
                <c:pt idx="197">
                  <c:v>40522</c:v>
                </c:pt>
                <c:pt idx="198">
                  <c:v>40525</c:v>
                </c:pt>
                <c:pt idx="199">
                  <c:v>40526</c:v>
                </c:pt>
                <c:pt idx="200">
                  <c:v>40527</c:v>
                </c:pt>
                <c:pt idx="201">
                  <c:v>40528</c:v>
                </c:pt>
                <c:pt idx="202">
                  <c:v>40529</c:v>
                </c:pt>
                <c:pt idx="203">
                  <c:v>40532</c:v>
                </c:pt>
                <c:pt idx="204">
                  <c:v>40533</c:v>
                </c:pt>
                <c:pt idx="205">
                  <c:v>40534</c:v>
                </c:pt>
                <c:pt idx="206">
                  <c:v>40535</c:v>
                </c:pt>
                <c:pt idx="207">
                  <c:v>40536</c:v>
                </c:pt>
                <c:pt idx="208">
                  <c:v>40539</c:v>
                </c:pt>
                <c:pt idx="209">
                  <c:v>40540</c:v>
                </c:pt>
                <c:pt idx="210">
                  <c:v>40541</c:v>
                </c:pt>
                <c:pt idx="211">
                  <c:v>40542</c:v>
                </c:pt>
                <c:pt idx="212">
                  <c:v>40543</c:v>
                </c:pt>
                <c:pt idx="213">
                  <c:v>40546</c:v>
                </c:pt>
                <c:pt idx="214">
                  <c:v>40547</c:v>
                </c:pt>
                <c:pt idx="215">
                  <c:v>40548</c:v>
                </c:pt>
                <c:pt idx="216">
                  <c:v>40549</c:v>
                </c:pt>
                <c:pt idx="217">
                  <c:v>40550</c:v>
                </c:pt>
                <c:pt idx="218">
                  <c:v>40553</c:v>
                </c:pt>
                <c:pt idx="219">
                  <c:v>40554</c:v>
                </c:pt>
                <c:pt idx="220">
                  <c:v>40555</c:v>
                </c:pt>
                <c:pt idx="221">
                  <c:v>40556</c:v>
                </c:pt>
                <c:pt idx="222">
                  <c:v>40557</c:v>
                </c:pt>
                <c:pt idx="223">
                  <c:v>40560</c:v>
                </c:pt>
                <c:pt idx="224">
                  <c:v>40561</c:v>
                </c:pt>
                <c:pt idx="225">
                  <c:v>40562</c:v>
                </c:pt>
                <c:pt idx="226">
                  <c:v>40563</c:v>
                </c:pt>
                <c:pt idx="227">
                  <c:v>40564</c:v>
                </c:pt>
                <c:pt idx="228">
                  <c:v>40567</c:v>
                </c:pt>
                <c:pt idx="229">
                  <c:v>40568</c:v>
                </c:pt>
                <c:pt idx="230">
                  <c:v>40569</c:v>
                </c:pt>
                <c:pt idx="231">
                  <c:v>40570</c:v>
                </c:pt>
                <c:pt idx="232">
                  <c:v>40571</c:v>
                </c:pt>
                <c:pt idx="233">
                  <c:v>40574</c:v>
                </c:pt>
                <c:pt idx="234">
                  <c:v>40575</c:v>
                </c:pt>
                <c:pt idx="235">
                  <c:v>40576</c:v>
                </c:pt>
                <c:pt idx="236">
                  <c:v>40577</c:v>
                </c:pt>
                <c:pt idx="237">
                  <c:v>40578</c:v>
                </c:pt>
                <c:pt idx="238">
                  <c:v>40581</c:v>
                </c:pt>
                <c:pt idx="239">
                  <c:v>40582</c:v>
                </c:pt>
                <c:pt idx="240">
                  <c:v>40583</c:v>
                </c:pt>
                <c:pt idx="241">
                  <c:v>40584</c:v>
                </c:pt>
                <c:pt idx="242">
                  <c:v>40585</c:v>
                </c:pt>
                <c:pt idx="243">
                  <c:v>40588</c:v>
                </c:pt>
                <c:pt idx="244">
                  <c:v>40589</c:v>
                </c:pt>
                <c:pt idx="245">
                  <c:v>40590</c:v>
                </c:pt>
                <c:pt idx="246">
                  <c:v>40591</c:v>
                </c:pt>
                <c:pt idx="247">
                  <c:v>40592</c:v>
                </c:pt>
                <c:pt idx="248">
                  <c:v>40595</c:v>
                </c:pt>
                <c:pt idx="249">
                  <c:v>40596</c:v>
                </c:pt>
              </c:numCache>
            </c:numRef>
          </c:cat>
          <c:val>
            <c:numRef>
              <c:f>prueba!$K$3:$K$252</c:f>
              <c:numCache>
                <c:formatCode>General</c:formatCode>
                <c:ptCount val="250"/>
                <c:pt idx="0">
                  <c:v>-3.2981933999999997E-2</c:v>
                </c:pt>
                <c:pt idx="1">
                  <c:v>-4.3526856000000003E-2</c:v>
                </c:pt>
                <c:pt idx="2">
                  <c:v>-2.0265320999999999E-2</c:v>
                </c:pt>
                <c:pt idx="3">
                  <c:v>2.2167026999999999E-2</c:v>
                </c:pt>
                <c:pt idx="4">
                  <c:v>2.9827052E-2</c:v>
                </c:pt>
                <c:pt idx="5">
                  <c:v>8.1772140000000004E-3</c:v>
                </c:pt>
                <c:pt idx="6">
                  <c:v>3.7990379999999998E-3</c:v>
                </c:pt>
                <c:pt idx="7">
                  <c:v>-8.7260900000000006E-3</c:v>
                </c:pt>
                <c:pt idx="8">
                  <c:v>2.2575537E-2</c:v>
                </c:pt>
                <c:pt idx="9">
                  <c:v>2.2410943999999999E-2</c:v>
                </c:pt>
                <c:pt idx="10">
                  <c:v>-1.2297361999999999E-2</c:v>
                </c:pt>
                <c:pt idx="11">
                  <c:v>-2.936129E-3</c:v>
                </c:pt>
                <c:pt idx="12">
                  <c:v>-5.5874719999999996E-3</c:v>
                </c:pt>
                <c:pt idx="13">
                  <c:v>3.5570049999999998E-3</c:v>
                </c:pt>
                <c:pt idx="14">
                  <c:v>-6.3373630000000004E-3</c:v>
                </c:pt>
                <c:pt idx="15">
                  <c:v>2.4778657999999999E-2</c:v>
                </c:pt>
                <c:pt idx="16">
                  <c:v>2.7046713999999999E-2</c:v>
                </c:pt>
                <c:pt idx="17">
                  <c:v>-1.8503617E-2</c:v>
                </c:pt>
                <c:pt idx="18">
                  <c:v>-7.7491770000000003E-3</c:v>
                </c:pt>
                <c:pt idx="19">
                  <c:v>-3.3317299999999998E-4</c:v>
                </c:pt>
                <c:pt idx="20">
                  <c:v>9.1997510000000008E-3</c:v>
                </c:pt>
                <c:pt idx="21">
                  <c:v>1.5642970999999999E-2</c:v>
                </c:pt>
                <c:pt idx="22">
                  <c:v>3.4281823000000003E-2</c:v>
                </c:pt>
                <c:pt idx="23">
                  <c:v>-2.5390999999999999E-3</c:v>
                </c:pt>
                <c:pt idx="24">
                  <c:v>2.9870510000000001E-3</c:v>
                </c:pt>
                <c:pt idx="25">
                  <c:v>2.8998959999999999E-3</c:v>
                </c:pt>
                <c:pt idx="26">
                  <c:v>9.2072599999999997E-6</c:v>
                </c:pt>
                <c:pt idx="27">
                  <c:v>2.3256492E-2</c:v>
                </c:pt>
                <c:pt idx="28">
                  <c:v>6.6703969999999998E-3</c:v>
                </c:pt>
                <c:pt idx="29">
                  <c:v>1.1553941E-2</c:v>
                </c:pt>
                <c:pt idx="30">
                  <c:v>-1.3568009999999999E-3</c:v>
                </c:pt>
                <c:pt idx="31">
                  <c:v>1.1301841E-2</c:v>
                </c:pt>
                <c:pt idx="32">
                  <c:v>-6.8009860000000002E-3</c:v>
                </c:pt>
                <c:pt idx="33">
                  <c:v>2.3087673E-2</c:v>
                </c:pt>
                <c:pt idx="34">
                  <c:v>-3.594491E-3</c:v>
                </c:pt>
                <c:pt idx="35">
                  <c:v>-1.6214159999999998E-2</c:v>
                </c:pt>
                <c:pt idx="36">
                  <c:v>2.8145888000000001E-2</c:v>
                </c:pt>
                <c:pt idx="37">
                  <c:v>-3.2906010000000002E-3</c:v>
                </c:pt>
                <c:pt idx="38">
                  <c:v>-1.1798022999999999E-2</c:v>
                </c:pt>
                <c:pt idx="39">
                  <c:v>-1.4212047E-2</c:v>
                </c:pt>
                <c:pt idx="40">
                  <c:v>1.6708117000000001E-2</c:v>
                </c:pt>
                <c:pt idx="41">
                  <c:v>-3.765961E-3</c:v>
                </c:pt>
                <c:pt idx="42">
                  <c:v>-1.1803199999999999E-3</c:v>
                </c:pt>
                <c:pt idx="43">
                  <c:v>1.5475997E-2</c:v>
                </c:pt>
                <c:pt idx="44">
                  <c:v>-1.7618884000000001E-2</c:v>
                </c:pt>
                <c:pt idx="45">
                  <c:v>-2.0578676000000001E-2</c:v>
                </c:pt>
                <c:pt idx="46">
                  <c:v>2.5293045E-2</c:v>
                </c:pt>
                <c:pt idx="47">
                  <c:v>8.7574430000000002E-3</c:v>
                </c:pt>
                <c:pt idx="48">
                  <c:v>-1.7841335E-2</c:v>
                </c:pt>
                <c:pt idx="49">
                  <c:v>-2.1593711000000002E-2</c:v>
                </c:pt>
                <c:pt idx="50">
                  <c:v>-2.80919E-2</c:v>
                </c:pt>
                <c:pt idx="51">
                  <c:v>-2.4921713000000002E-2</c:v>
                </c:pt>
                <c:pt idx="52">
                  <c:v>-7.6967444999999995E-2</c:v>
                </c:pt>
                <c:pt idx="53">
                  <c:v>0.100620694</c:v>
                </c:pt>
                <c:pt idx="54">
                  <c:v>-1.0619633999999999E-2</c:v>
                </c:pt>
                <c:pt idx="55">
                  <c:v>3.099938E-2</c:v>
                </c:pt>
                <c:pt idx="56">
                  <c:v>6.1901070000000002E-3</c:v>
                </c:pt>
                <c:pt idx="57">
                  <c:v>-4.6439623999999999E-2</c:v>
                </c:pt>
                <c:pt idx="58">
                  <c:v>-3.439788E-3</c:v>
                </c:pt>
                <c:pt idx="59">
                  <c:v>2.1205696999999999E-2</c:v>
                </c:pt>
                <c:pt idx="60">
                  <c:v>-7.3525699999999999E-2</c:v>
                </c:pt>
                <c:pt idx="61">
                  <c:v>-8.0728129999999999E-3</c:v>
                </c:pt>
                <c:pt idx="62">
                  <c:v>1.5165339999999999E-2</c:v>
                </c:pt>
                <c:pt idx="63">
                  <c:v>-5.7318925E-2</c:v>
                </c:pt>
                <c:pt idx="64">
                  <c:v>4.3782356000000001E-2</c:v>
                </c:pt>
                <c:pt idx="65">
                  <c:v>1.4993319E-2</c:v>
                </c:pt>
                <c:pt idx="66">
                  <c:v>1.9388862E-2</c:v>
                </c:pt>
                <c:pt idx="67">
                  <c:v>-2.5179175000000002E-2</c:v>
                </c:pt>
                <c:pt idx="68">
                  <c:v>-7.1334019999999996E-3</c:v>
                </c:pt>
                <c:pt idx="69">
                  <c:v>1.7966551000000001E-2</c:v>
                </c:pt>
                <c:pt idx="70">
                  <c:v>8.1771550000000002E-3</c:v>
                </c:pt>
                <c:pt idx="71">
                  <c:v>-2.1635353E-2</c:v>
                </c:pt>
                <c:pt idx="72">
                  <c:v>-1.5977304000000001E-2</c:v>
                </c:pt>
                <c:pt idx="73">
                  <c:v>-1.4532623999999999E-2</c:v>
                </c:pt>
                <c:pt idx="74">
                  <c:v>1.5006205999999999E-2</c:v>
                </c:pt>
                <c:pt idx="75">
                  <c:v>1.2652948000000001E-2</c:v>
                </c:pt>
                <c:pt idx="76">
                  <c:v>1.5163322999999999E-2</c:v>
                </c:pt>
                <c:pt idx="77">
                  <c:v>1.7462518999999999E-2</c:v>
                </c:pt>
                <c:pt idx="78">
                  <c:v>7.567692E-3</c:v>
                </c:pt>
                <c:pt idx="79">
                  <c:v>5.8783070000000002E-3</c:v>
                </c:pt>
                <c:pt idx="80">
                  <c:v>1.079917E-2</c:v>
                </c:pt>
                <c:pt idx="81">
                  <c:v>6.8365769999999999E-3</c:v>
                </c:pt>
                <c:pt idx="82">
                  <c:v>8.1935859999999992E-3</c:v>
                </c:pt>
                <c:pt idx="83">
                  <c:v>-1.1254900999999999E-2</c:v>
                </c:pt>
                <c:pt idx="84">
                  <c:v>-2.2131100000000001E-2</c:v>
                </c:pt>
                <c:pt idx="85">
                  <c:v>-8.0241830000000007E-3</c:v>
                </c:pt>
                <c:pt idx="86">
                  <c:v>-3.5908419999999999E-3</c:v>
                </c:pt>
                <c:pt idx="87">
                  <c:v>1.6951145000000001E-2</c:v>
                </c:pt>
                <c:pt idx="88">
                  <c:v>-2.8443062000000002E-2</c:v>
                </c:pt>
                <c:pt idx="89">
                  <c:v>-6.1949509999999998E-3</c:v>
                </c:pt>
                <c:pt idx="90">
                  <c:v>-7.6776190000000001E-3</c:v>
                </c:pt>
                <c:pt idx="91">
                  <c:v>2.6056593999999999E-2</c:v>
                </c:pt>
                <c:pt idx="92">
                  <c:v>7.3752330000000001E-3</c:v>
                </c:pt>
                <c:pt idx="93">
                  <c:v>2.2922606000000002E-2</c:v>
                </c:pt>
                <c:pt idx="94">
                  <c:v>-7.1371900000000003E-4</c:v>
                </c:pt>
                <c:pt idx="95">
                  <c:v>1.5335579E-2</c:v>
                </c:pt>
                <c:pt idx="96">
                  <c:v>-2.3665359999999998E-3</c:v>
                </c:pt>
                <c:pt idx="97">
                  <c:v>2.454421E-3</c:v>
                </c:pt>
                <c:pt idx="98">
                  <c:v>1.2557159E-2</c:v>
                </c:pt>
                <c:pt idx="99">
                  <c:v>9.6638430000000001E-3</c:v>
                </c:pt>
                <c:pt idx="100">
                  <c:v>-7.8020019999999997E-3</c:v>
                </c:pt>
                <c:pt idx="101">
                  <c:v>4.7438610000000003E-3</c:v>
                </c:pt>
                <c:pt idx="102">
                  <c:v>1.609521E-3</c:v>
                </c:pt>
                <c:pt idx="103">
                  <c:v>4.8897200000000002E-3</c:v>
                </c:pt>
                <c:pt idx="104">
                  <c:v>2.7040453999999998E-2</c:v>
                </c:pt>
                <c:pt idx="105">
                  <c:v>8.759167E-3</c:v>
                </c:pt>
                <c:pt idx="106">
                  <c:v>-6.5019730000000003E-3</c:v>
                </c:pt>
                <c:pt idx="107">
                  <c:v>2.976954E-3</c:v>
                </c:pt>
                <c:pt idx="108">
                  <c:v>1.8680978000000001E-2</c:v>
                </c:pt>
                <c:pt idx="109">
                  <c:v>2.580017E-3</c:v>
                </c:pt>
                <c:pt idx="110">
                  <c:v>5.4291909999999999E-3</c:v>
                </c:pt>
                <c:pt idx="111">
                  <c:v>-1.5301669E-2</c:v>
                </c:pt>
                <c:pt idx="112">
                  <c:v>2.2125061000000001E-2</c:v>
                </c:pt>
                <c:pt idx="113">
                  <c:v>-6.4154770000000002E-3</c:v>
                </c:pt>
                <c:pt idx="114">
                  <c:v>-8.0658840000000006E-3</c:v>
                </c:pt>
                <c:pt idx="115">
                  <c:v>-5.9189819999999997E-3</c:v>
                </c:pt>
                <c:pt idx="116">
                  <c:v>5.730527E-3</c:v>
                </c:pt>
                <c:pt idx="117">
                  <c:v>8.2076070000000004E-3</c:v>
                </c:pt>
                <c:pt idx="118">
                  <c:v>-1.7887816000000001E-2</c:v>
                </c:pt>
                <c:pt idx="119">
                  <c:v>-2.5658664000000001E-2</c:v>
                </c:pt>
                <c:pt idx="120">
                  <c:v>-3.832495E-3</c:v>
                </c:pt>
                <c:pt idx="121">
                  <c:v>6.9472309999999999E-3</c:v>
                </c:pt>
                <c:pt idx="122">
                  <c:v>6.5785360000000003E-3</c:v>
                </c:pt>
                <c:pt idx="123">
                  <c:v>2.0238128000000001E-2</c:v>
                </c:pt>
                <c:pt idx="124">
                  <c:v>-3.2736199999999999E-4</c:v>
                </c:pt>
                <c:pt idx="125">
                  <c:v>-1.2118576000000001E-2</c:v>
                </c:pt>
                <c:pt idx="126">
                  <c:v>-9.9611449999999994E-3</c:v>
                </c:pt>
                <c:pt idx="127">
                  <c:v>-3.9646400000000002E-4</c:v>
                </c:pt>
                <c:pt idx="128">
                  <c:v>-1.3976189E-2</c:v>
                </c:pt>
                <c:pt idx="129">
                  <c:v>-2.2902550000000002E-3</c:v>
                </c:pt>
                <c:pt idx="130">
                  <c:v>1.5274596999999999E-2</c:v>
                </c:pt>
                <c:pt idx="131">
                  <c:v>5.8530750000000001E-3</c:v>
                </c:pt>
                <c:pt idx="132">
                  <c:v>6.8124229999999997E-3</c:v>
                </c:pt>
                <c:pt idx="133">
                  <c:v>1.5375877E-2</c:v>
                </c:pt>
                <c:pt idx="134">
                  <c:v>9.6579519999999992E-3</c:v>
                </c:pt>
                <c:pt idx="135">
                  <c:v>6.1142590000000004E-3</c:v>
                </c:pt>
                <c:pt idx="136">
                  <c:v>5.5482960000000003E-3</c:v>
                </c:pt>
                <c:pt idx="137">
                  <c:v>-1.2223346E-2</c:v>
                </c:pt>
                <c:pt idx="138">
                  <c:v>-2.284646E-3</c:v>
                </c:pt>
                <c:pt idx="139">
                  <c:v>3.6792574000000001E-2</c:v>
                </c:pt>
                <c:pt idx="140">
                  <c:v>9.56115E-4</c:v>
                </c:pt>
                <c:pt idx="141">
                  <c:v>1.8699349000000001E-2</c:v>
                </c:pt>
                <c:pt idx="142">
                  <c:v>6.2122219999999999E-3</c:v>
                </c:pt>
                <c:pt idx="143">
                  <c:v>-6.6432399999999999E-4</c:v>
                </c:pt>
                <c:pt idx="144">
                  <c:v>6.6035809999999999E-3</c:v>
                </c:pt>
                <c:pt idx="145">
                  <c:v>3.2605500000000001E-4</c:v>
                </c:pt>
                <c:pt idx="146">
                  <c:v>1.0378034E-2</c:v>
                </c:pt>
                <c:pt idx="147">
                  <c:v>-6.8895400000000004E-3</c:v>
                </c:pt>
                <c:pt idx="148">
                  <c:v>2.3149669999999998E-3</c:v>
                </c:pt>
                <c:pt idx="149">
                  <c:v>1.2779852E-2</c:v>
                </c:pt>
                <c:pt idx="150">
                  <c:v>1.5942484E-2</c:v>
                </c:pt>
                <c:pt idx="151">
                  <c:v>1.0183485000000001E-2</c:v>
                </c:pt>
                <c:pt idx="152">
                  <c:v>8.7890529999999998E-3</c:v>
                </c:pt>
                <c:pt idx="153">
                  <c:v>-1.0596542E-2</c:v>
                </c:pt>
                <c:pt idx="154">
                  <c:v>8.2422060000000002E-3</c:v>
                </c:pt>
                <c:pt idx="155">
                  <c:v>1.1309614000000001E-2</c:v>
                </c:pt>
                <c:pt idx="156">
                  <c:v>2.7594180999999999E-2</c:v>
                </c:pt>
                <c:pt idx="157">
                  <c:v>8.8612900000000004E-4</c:v>
                </c:pt>
                <c:pt idx="158">
                  <c:v>1.96004E-4</c:v>
                </c:pt>
                <c:pt idx="159">
                  <c:v>3.7795035999999997E-2</c:v>
                </c:pt>
                <c:pt idx="160">
                  <c:v>3.7386800000000002E-4</c:v>
                </c:pt>
                <c:pt idx="161">
                  <c:v>1.5684163000000001E-2</c:v>
                </c:pt>
                <c:pt idx="162">
                  <c:v>-4.1285209999999996E-3</c:v>
                </c:pt>
                <c:pt idx="163">
                  <c:v>7.6884950000000001E-3</c:v>
                </c:pt>
                <c:pt idx="164">
                  <c:v>-8.1409800000000008E-3</c:v>
                </c:pt>
                <c:pt idx="165">
                  <c:v>-7.6958809999999999E-3</c:v>
                </c:pt>
                <c:pt idx="166">
                  <c:v>-1.1326734999999999E-2</c:v>
                </c:pt>
                <c:pt idx="167">
                  <c:v>2.2096172000000001E-2</c:v>
                </c:pt>
                <c:pt idx="168">
                  <c:v>1.7962900000000001E-3</c:v>
                </c:pt>
                <c:pt idx="169">
                  <c:v>8.5209750000000001E-3</c:v>
                </c:pt>
                <c:pt idx="170">
                  <c:v>-6.4019259999999996E-3</c:v>
                </c:pt>
                <c:pt idx="171">
                  <c:v>-4.2735495999999998E-2</c:v>
                </c:pt>
                <c:pt idx="172">
                  <c:v>1.4432573000000001E-2</c:v>
                </c:pt>
                <c:pt idx="173">
                  <c:v>-1.306691E-3</c:v>
                </c:pt>
                <c:pt idx="174">
                  <c:v>7.0394430000000003E-3</c:v>
                </c:pt>
                <c:pt idx="175">
                  <c:v>4.2670291999999999E-2</c:v>
                </c:pt>
                <c:pt idx="176">
                  <c:v>-4.3741179999999998E-3</c:v>
                </c:pt>
                <c:pt idx="177">
                  <c:v>-5.7341299999999996E-3</c:v>
                </c:pt>
                <c:pt idx="178">
                  <c:v>8.5232399999999996E-3</c:v>
                </c:pt>
                <c:pt idx="179">
                  <c:v>-1.6602556000000001E-2</c:v>
                </c:pt>
                <c:pt idx="180">
                  <c:v>-1.1877057999999999E-2</c:v>
                </c:pt>
                <c:pt idx="181">
                  <c:v>-1.7336606000000001E-2</c:v>
                </c:pt>
                <c:pt idx="182">
                  <c:v>6.3788610000000004E-3</c:v>
                </c:pt>
                <c:pt idx="183">
                  <c:v>-3.5632732E-2</c:v>
                </c:pt>
                <c:pt idx="184">
                  <c:v>-3.7541092999999998E-2</c:v>
                </c:pt>
                <c:pt idx="185">
                  <c:v>-4.48648E-4</c:v>
                </c:pt>
                <c:pt idx="186">
                  <c:v>3.5347099999999999E-3</c:v>
                </c:pt>
                <c:pt idx="187">
                  <c:v>-2.3631065E-2</c:v>
                </c:pt>
                <c:pt idx="188">
                  <c:v>-3.4779442000000001E-2</c:v>
                </c:pt>
                <c:pt idx="189">
                  <c:v>1.117932E-2</c:v>
                </c:pt>
                <c:pt idx="190">
                  <c:v>1.9146303999999999E-2</c:v>
                </c:pt>
                <c:pt idx="191">
                  <c:v>1.6953000999999999E-2</c:v>
                </c:pt>
                <c:pt idx="192">
                  <c:v>4.1029040000000001E-3</c:v>
                </c:pt>
                <c:pt idx="193">
                  <c:v>1.0356506E-2</c:v>
                </c:pt>
                <c:pt idx="194">
                  <c:v>8.157404E-3</c:v>
                </c:pt>
                <c:pt idx="195">
                  <c:v>-1.2462407999999999E-2</c:v>
                </c:pt>
                <c:pt idx="196">
                  <c:v>-3.1852930000000002E-2</c:v>
                </c:pt>
                <c:pt idx="197">
                  <c:v>-2.0089706999999998E-2</c:v>
                </c:pt>
                <c:pt idx="198">
                  <c:v>2.2188263E-2</c:v>
                </c:pt>
                <c:pt idx="199">
                  <c:v>4.6893179999999996E-3</c:v>
                </c:pt>
                <c:pt idx="200">
                  <c:v>-2.6703272E-2</c:v>
                </c:pt>
                <c:pt idx="201">
                  <c:v>-1.9641181000000001E-2</c:v>
                </c:pt>
                <c:pt idx="202">
                  <c:v>-1.6985296E-2</c:v>
                </c:pt>
                <c:pt idx="203">
                  <c:v>-1.7391671000000001E-2</c:v>
                </c:pt>
                <c:pt idx="204">
                  <c:v>1.8217236000000001E-2</c:v>
                </c:pt>
                <c:pt idx="205">
                  <c:v>1.2176661E-2</c:v>
                </c:pt>
                <c:pt idx="206">
                  <c:v>1.2478901000000001E-2</c:v>
                </c:pt>
                <c:pt idx="207">
                  <c:v>4.2329669999999998E-3</c:v>
                </c:pt>
                <c:pt idx="208">
                  <c:v>6.3400000000000001E-4</c:v>
                </c:pt>
                <c:pt idx="209">
                  <c:v>4.3838200000000002E-4</c:v>
                </c:pt>
                <c:pt idx="210">
                  <c:v>-5.5817740000000003E-3</c:v>
                </c:pt>
                <c:pt idx="211">
                  <c:v>8.4384979999999991E-3</c:v>
                </c:pt>
                <c:pt idx="212">
                  <c:v>-6.861097E-3</c:v>
                </c:pt>
                <c:pt idx="213">
                  <c:v>1.7515472000000001E-2</c:v>
                </c:pt>
                <c:pt idx="214">
                  <c:v>1.1047589999999999E-2</c:v>
                </c:pt>
                <c:pt idx="215">
                  <c:v>1.1780211000000001E-2</c:v>
                </c:pt>
                <c:pt idx="216">
                  <c:v>6.8502199999999997E-3</c:v>
                </c:pt>
                <c:pt idx="217">
                  <c:v>-1.8754847000000002E-2</c:v>
                </c:pt>
                <c:pt idx="218">
                  <c:v>-2.6324670000000001E-2</c:v>
                </c:pt>
                <c:pt idx="219">
                  <c:v>1.7947670000000001E-3</c:v>
                </c:pt>
                <c:pt idx="220">
                  <c:v>9.0640510000000001E-3</c:v>
                </c:pt>
                <c:pt idx="221">
                  <c:v>1.6297587999999998E-2</c:v>
                </c:pt>
                <c:pt idx="222">
                  <c:v>-4.7002279999999999E-3</c:v>
                </c:pt>
                <c:pt idx="223">
                  <c:v>-1.5367702E-2</c:v>
                </c:pt>
                <c:pt idx="224">
                  <c:v>4.5795269999999999E-3</c:v>
                </c:pt>
                <c:pt idx="225">
                  <c:v>-3.2090069999999998E-3</c:v>
                </c:pt>
                <c:pt idx="226">
                  <c:v>-3.1651659999999998E-2</c:v>
                </c:pt>
                <c:pt idx="227">
                  <c:v>-5.1083300000000003E-4</c:v>
                </c:pt>
                <c:pt idx="228">
                  <c:v>-7.4262540000000002E-3</c:v>
                </c:pt>
                <c:pt idx="229">
                  <c:v>4.6386450000000003E-3</c:v>
                </c:pt>
                <c:pt idx="230">
                  <c:v>5.404402E-3</c:v>
                </c:pt>
                <c:pt idx="231">
                  <c:v>-1.4976415E-2</c:v>
                </c:pt>
                <c:pt idx="232">
                  <c:v>-3.8598965999999998E-2</c:v>
                </c:pt>
                <c:pt idx="233">
                  <c:v>-8.8830330000000002E-3</c:v>
                </c:pt>
                <c:pt idx="234">
                  <c:v>3.5256817000000003E-2</c:v>
                </c:pt>
                <c:pt idx="235">
                  <c:v>1.4238624E-2</c:v>
                </c:pt>
                <c:pt idx="236">
                  <c:v>-2.7850188000000001E-2</c:v>
                </c:pt>
                <c:pt idx="237">
                  <c:v>1.3959226999999999E-2</c:v>
                </c:pt>
                <c:pt idx="238">
                  <c:v>8.5528879999999998E-3</c:v>
                </c:pt>
                <c:pt idx="239">
                  <c:v>6.8857060000000001E-3</c:v>
                </c:pt>
                <c:pt idx="240">
                  <c:v>-3.25487E-3</c:v>
                </c:pt>
                <c:pt idx="241">
                  <c:v>-2.4920602E-2</c:v>
                </c:pt>
                <c:pt idx="242">
                  <c:v>6.4182199999999997E-3</c:v>
                </c:pt>
                <c:pt idx="243">
                  <c:v>4.0451400000000002E-4</c:v>
                </c:pt>
                <c:pt idx="244">
                  <c:v>8.9272199999999998E-4</c:v>
                </c:pt>
                <c:pt idx="245">
                  <c:v>1.3399898E-2</c:v>
                </c:pt>
                <c:pt idx="246">
                  <c:v>1.5977202999999999E-2</c:v>
                </c:pt>
                <c:pt idx="247">
                  <c:v>-1.652602E-3</c:v>
                </c:pt>
                <c:pt idx="248">
                  <c:v>-1.3705988000000001E-2</c:v>
                </c:pt>
                <c:pt idx="249">
                  <c:v>-1.944185E-2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prueba!$M$2</c:f>
              <c:strCache>
                <c:ptCount val="1"/>
                <c:pt idx="0">
                  <c:v>ridge</c:v>
                </c:pt>
              </c:strCache>
            </c:strRef>
          </c:tx>
          <c:marker>
            <c:symbol val="none"/>
          </c:marker>
          <c:cat>
            <c:numRef>
              <c:f>prueba!$A$3:$A$252</c:f>
              <c:numCache>
                <c:formatCode>[$-409]d\-mmm\-yy;@</c:formatCode>
                <c:ptCount val="250"/>
                <c:pt idx="0">
                  <c:v>40232</c:v>
                </c:pt>
                <c:pt idx="1">
                  <c:v>40233</c:v>
                </c:pt>
                <c:pt idx="2">
                  <c:v>40234</c:v>
                </c:pt>
                <c:pt idx="3">
                  <c:v>40235</c:v>
                </c:pt>
                <c:pt idx="4">
                  <c:v>40238</c:v>
                </c:pt>
                <c:pt idx="5">
                  <c:v>40239</c:v>
                </c:pt>
                <c:pt idx="6">
                  <c:v>40240</c:v>
                </c:pt>
                <c:pt idx="7">
                  <c:v>40241</c:v>
                </c:pt>
                <c:pt idx="8">
                  <c:v>40242</c:v>
                </c:pt>
                <c:pt idx="9">
                  <c:v>40245</c:v>
                </c:pt>
                <c:pt idx="10">
                  <c:v>40246</c:v>
                </c:pt>
                <c:pt idx="11">
                  <c:v>40247</c:v>
                </c:pt>
                <c:pt idx="12">
                  <c:v>40248</c:v>
                </c:pt>
                <c:pt idx="13">
                  <c:v>40249</c:v>
                </c:pt>
                <c:pt idx="14">
                  <c:v>40252</c:v>
                </c:pt>
                <c:pt idx="15">
                  <c:v>40253</c:v>
                </c:pt>
                <c:pt idx="16">
                  <c:v>40254</c:v>
                </c:pt>
                <c:pt idx="17">
                  <c:v>40255</c:v>
                </c:pt>
                <c:pt idx="18">
                  <c:v>40256</c:v>
                </c:pt>
                <c:pt idx="19">
                  <c:v>40259</c:v>
                </c:pt>
                <c:pt idx="20">
                  <c:v>40260</c:v>
                </c:pt>
                <c:pt idx="21">
                  <c:v>40261</c:v>
                </c:pt>
                <c:pt idx="22">
                  <c:v>40262</c:v>
                </c:pt>
                <c:pt idx="23">
                  <c:v>40263</c:v>
                </c:pt>
                <c:pt idx="24">
                  <c:v>40266</c:v>
                </c:pt>
                <c:pt idx="25">
                  <c:v>40267</c:v>
                </c:pt>
                <c:pt idx="26">
                  <c:v>40268</c:v>
                </c:pt>
                <c:pt idx="27">
                  <c:v>40269</c:v>
                </c:pt>
                <c:pt idx="28">
                  <c:v>40270</c:v>
                </c:pt>
                <c:pt idx="29">
                  <c:v>40273</c:v>
                </c:pt>
                <c:pt idx="30">
                  <c:v>40274</c:v>
                </c:pt>
                <c:pt idx="31">
                  <c:v>40275</c:v>
                </c:pt>
                <c:pt idx="32">
                  <c:v>40276</c:v>
                </c:pt>
                <c:pt idx="33">
                  <c:v>40277</c:v>
                </c:pt>
                <c:pt idx="34">
                  <c:v>40280</c:v>
                </c:pt>
                <c:pt idx="35">
                  <c:v>40281</c:v>
                </c:pt>
                <c:pt idx="36">
                  <c:v>40282</c:v>
                </c:pt>
                <c:pt idx="37">
                  <c:v>40283</c:v>
                </c:pt>
                <c:pt idx="38">
                  <c:v>40284</c:v>
                </c:pt>
                <c:pt idx="39">
                  <c:v>40287</c:v>
                </c:pt>
                <c:pt idx="40">
                  <c:v>40288</c:v>
                </c:pt>
                <c:pt idx="41">
                  <c:v>40289</c:v>
                </c:pt>
                <c:pt idx="42">
                  <c:v>40290</c:v>
                </c:pt>
                <c:pt idx="43">
                  <c:v>40294</c:v>
                </c:pt>
                <c:pt idx="44">
                  <c:v>40295</c:v>
                </c:pt>
                <c:pt idx="45">
                  <c:v>40296</c:v>
                </c:pt>
                <c:pt idx="46">
                  <c:v>40297</c:v>
                </c:pt>
                <c:pt idx="47">
                  <c:v>40298</c:v>
                </c:pt>
                <c:pt idx="48">
                  <c:v>40301</c:v>
                </c:pt>
                <c:pt idx="49">
                  <c:v>40302</c:v>
                </c:pt>
                <c:pt idx="50">
                  <c:v>40303</c:v>
                </c:pt>
                <c:pt idx="51">
                  <c:v>40304</c:v>
                </c:pt>
                <c:pt idx="52">
                  <c:v>40305</c:v>
                </c:pt>
                <c:pt idx="53">
                  <c:v>40308</c:v>
                </c:pt>
                <c:pt idx="54">
                  <c:v>40309</c:v>
                </c:pt>
                <c:pt idx="55">
                  <c:v>40310</c:v>
                </c:pt>
                <c:pt idx="56">
                  <c:v>40311</c:v>
                </c:pt>
                <c:pt idx="57">
                  <c:v>40312</c:v>
                </c:pt>
                <c:pt idx="58">
                  <c:v>40315</c:v>
                </c:pt>
                <c:pt idx="59">
                  <c:v>40316</c:v>
                </c:pt>
                <c:pt idx="60">
                  <c:v>40318</c:v>
                </c:pt>
                <c:pt idx="61">
                  <c:v>40319</c:v>
                </c:pt>
                <c:pt idx="62">
                  <c:v>40322</c:v>
                </c:pt>
                <c:pt idx="63">
                  <c:v>40323</c:v>
                </c:pt>
                <c:pt idx="64">
                  <c:v>40324</c:v>
                </c:pt>
                <c:pt idx="65">
                  <c:v>40325</c:v>
                </c:pt>
                <c:pt idx="66">
                  <c:v>40326</c:v>
                </c:pt>
                <c:pt idx="67">
                  <c:v>40329</c:v>
                </c:pt>
                <c:pt idx="68">
                  <c:v>40330</c:v>
                </c:pt>
                <c:pt idx="69">
                  <c:v>40331</c:v>
                </c:pt>
                <c:pt idx="70">
                  <c:v>40332</c:v>
                </c:pt>
                <c:pt idx="71">
                  <c:v>40333</c:v>
                </c:pt>
                <c:pt idx="72">
                  <c:v>40336</c:v>
                </c:pt>
                <c:pt idx="73">
                  <c:v>40337</c:v>
                </c:pt>
                <c:pt idx="74">
                  <c:v>40338</c:v>
                </c:pt>
                <c:pt idx="75">
                  <c:v>40339</c:v>
                </c:pt>
                <c:pt idx="76">
                  <c:v>40340</c:v>
                </c:pt>
                <c:pt idx="77">
                  <c:v>40343</c:v>
                </c:pt>
                <c:pt idx="78">
                  <c:v>40344</c:v>
                </c:pt>
                <c:pt idx="79">
                  <c:v>40345</c:v>
                </c:pt>
                <c:pt idx="80">
                  <c:v>40346</c:v>
                </c:pt>
                <c:pt idx="81">
                  <c:v>40347</c:v>
                </c:pt>
                <c:pt idx="82">
                  <c:v>40350</c:v>
                </c:pt>
                <c:pt idx="83">
                  <c:v>40351</c:v>
                </c:pt>
                <c:pt idx="84">
                  <c:v>40352</c:v>
                </c:pt>
                <c:pt idx="85">
                  <c:v>40353</c:v>
                </c:pt>
                <c:pt idx="86">
                  <c:v>40354</c:v>
                </c:pt>
                <c:pt idx="87">
                  <c:v>40357</c:v>
                </c:pt>
                <c:pt idx="88">
                  <c:v>40358</c:v>
                </c:pt>
                <c:pt idx="89">
                  <c:v>40359</c:v>
                </c:pt>
                <c:pt idx="90">
                  <c:v>40360</c:v>
                </c:pt>
                <c:pt idx="91">
                  <c:v>40361</c:v>
                </c:pt>
                <c:pt idx="92">
                  <c:v>40364</c:v>
                </c:pt>
                <c:pt idx="93">
                  <c:v>40365</c:v>
                </c:pt>
                <c:pt idx="94">
                  <c:v>40366</c:v>
                </c:pt>
                <c:pt idx="95">
                  <c:v>40367</c:v>
                </c:pt>
                <c:pt idx="96">
                  <c:v>40368</c:v>
                </c:pt>
                <c:pt idx="97">
                  <c:v>40371</c:v>
                </c:pt>
                <c:pt idx="98">
                  <c:v>40372</c:v>
                </c:pt>
                <c:pt idx="99">
                  <c:v>40373</c:v>
                </c:pt>
                <c:pt idx="100">
                  <c:v>40374</c:v>
                </c:pt>
                <c:pt idx="101">
                  <c:v>40375</c:v>
                </c:pt>
                <c:pt idx="102">
                  <c:v>40378</c:v>
                </c:pt>
                <c:pt idx="103">
                  <c:v>40379</c:v>
                </c:pt>
                <c:pt idx="104">
                  <c:v>40380</c:v>
                </c:pt>
                <c:pt idx="105">
                  <c:v>40381</c:v>
                </c:pt>
                <c:pt idx="106">
                  <c:v>40382</c:v>
                </c:pt>
                <c:pt idx="107">
                  <c:v>40385</c:v>
                </c:pt>
                <c:pt idx="108">
                  <c:v>40386</c:v>
                </c:pt>
                <c:pt idx="109">
                  <c:v>40387</c:v>
                </c:pt>
                <c:pt idx="110">
                  <c:v>40388</c:v>
                </c:pt>
                <c:pt idx="111">
                  <c:v>40389</c:v>
                </c:pt>
                <c:pt idx="112">
                  <c:v>40392</c:v>
                </c:pt>
                <c:pt idx="113">
                  <c:v>40393</c:v>
                </c:pt>
                <c:pt idx="114">
                  <c:v>40394</c:v>
                </c:pt>
                <c:pt idx="115">
                  <c:v>40395</c:v>
                </c:pt>
                <c:pt idx="116">
                  <c:v>40396</c:v>
                </c:pt>
                <c:pt idx="117">
                  <c:v>40399</c:v>
                </c:pt>
                <c:pt idx="118">
                  <c:v>40400</c:v>
                </c:pt>
                <c:pt idx="119">
                  <c:v>40401</c:v>
                </c:pt>
                <c:pt idx="120">
                  <c:v>40402</c:v>
                </c:pt>
                <c:pt idx="121">
                  <c:v>40403</c:v>
                </c:pt>
                <c:pt idx="122">
                  <c:v>40406</c:v>
                </c:pt>
                <c:pt idx="123">
                  <c:v>40407</c:v>
                </c:pt>
                <c:pt idx="124">
                  <c:v>40408</c:v>
                </c:pt>
                <c:pt idx="125">
                  <c:v>40409</c:v>
                </c:pt>
                <c:pt idx="126">
                  <c:v>40410</c:v>
                </c:pt>
                <c:pt idx="127">
                  <c:v>40413</c:v>
                </c:pt>
                <c:pt idx="128">
                  <c:v>40414</c:v>
                </c:pt>
                <c:pt idx="129">
                  <c:v>40415</c:v>
                </c:pt>
                <c:pt idx="130">
                  <c:v>40416</c:v>
                </c:pt>
                <c:pt idx="131">
                  <c:v>40417</c:v>
                </c:pt>
                <c:pt idx="132">
                  <c:v>40421</c:v>
                </c:pt>
                <c:pt idx="133">
                  <c:v>40422</c:v>
                </c:pt>
                <c:pt idx="134">
                  <c:v>40423</c:v>
                </c:pt>
                <c:pt idx="135">
                  <c:v>40424</c:v>
                </c:pt>
                <c:pt idx="136">
                  <c:v>40427</c:v>
                </c:pt>
                <c:pt idx="137">
                  <c:v>40428</c:v>
                </c:pt>
                <c:pt idx="138">
                  <c:v>40429</c:v>
                </c:pt>
                <c:pt idx="139">
                  <c:v>40434</c:v>
                </c:pt>
                <c:pt idx="140">
                  <c:v>40435</c:v>
                </c:pt>
                <c:pt idx="141">
                  <c:v>40436</c:v>
                </c:pt>
                <c:pt idx="142">
                  <c:v>40437</c:v>
                </c:pt>
                <c:pt idx="143">
                  <c:v>40438</c:v>
                </c:pt>
                <c:pt idx="144">
                  <c:v>40441</c:v>
                </c:pt>
                <c:pt idx="145">
                  <c:v>40442</c:v>
                </c:pt>
                <c:pt idx="146">
                  <c:v>40443</c:v>
                </c:pt>
                <c:pt idx="147">
                  <c:v>40444</c:v>
                </c:pt>
                <c:pt idx="148">
                  <c:v>40445</c:v>
                </c:pt>
                <c:pt idx="149">
                  <c:v>40448</c:v>
                </c:pt>
                <c:pt idx="150">
                  <c:v>40449</c:v>
                </c:pt>
                <c:pt idx="151">
                  <c:v>40450</c:v>
                </c:pt>
                <c:pt idx="152">
                  <c:v>40451</c:v>
                </c:pt>
                <c:pt idx="153">
                  <c:v>40452</c:v>
                </c:pt>
                <c:pt idx="154">
                  <c:v>40455</c:v>
                </c:pt>
                <c:pt idx="155">
                  <c:v>40456</c:v>
                </c:pt>
                <c:pt idx="156">
                  <c:v>40457</c:v>
                </c:pt>
                <c:pt idx="157">
                  <c:v>40458</c:v>
                </c:pt>
                <c:pt idx="158">
                  <c:v>40459</c:v>
                </c:pt>
                <c:pt idx="159">
                  <c:v>40462</c:v>
                </c:pt>
                <c:pt idx="160">
                  <c:v>40463</c:v>
                </c:pt>
                <c:pt idx="161">
                  <c:v>40464</c:v>
                </c:pt>
                <c:pt idx="162">
                  <c:v>40465</c:v>
                </c:pt>
                <c:pt idx="163">
                  <c:v>40466</c:v>
                </c:pt>
                <c:pt idx="164">
                  <c:v>40469</c:v>
                </c:pt>
                <c:pt idx="165">
                  <c:v>40470</c:v>
                </c:pt>
                <c:pt idx="166">
                  <c:v>40471</c:v>
                </c:pt>
                <c:pt idx="167">
                  <c:v>40472</c:v>
                </c:pt>
                <c:pt idx="168">
                  <c:v>40473</c:v>
                </c:pt>
                <c:pt idx="169">
                  <c:v>40476</c:v>
                </c:pt>
                <c:pt idx="170">
                  <c:v>40477</c:v>
                </c:pt>
                <c:pt idx="171">
                  <c:v>40478</c:v>
                </c:pt>
                <c:pt idx="172">
                  <c:v>40483</c:v>
                </c:pt>
                <c:pt idx="173">
                  <c:v>40484</c:v>
                </c:pt>
                <c:pt idx="174">
                  <c:v>40485</c:v>
                </c:pt>
                <c:pt idx="175">
                  <c:v>40486</c:v>
                </c:pt>
                <c:pt idx="176">
                  <c:v>40487</c:v>
                </c:pt>
                <c:pt idx="177">
                  <c:v>40490</c:v>
                </c:pt>
                <c:pt idx="178">
                  <c:v>40491</c:v>
                </c:pt>
                <c:pt idx="179">
                  <c:v>40492</c:v>
                </c:pt>
                <c:pt idx="180">
                  <c:v>40493</c:v>
                </c:pt>
                <c:pt idx="181">
                  <c:v>40494</c:v>
                </c:pt>
                <c:pt idx="182">
                  <c:v>40497</c:v>
                </c:pt>
                <c:pt idx="183">
                  <c:v>40504</c:v>
                </c:pt>
                <c:pt idx="184">
                  <c:v>40505</c:v>
                </c:pt>
                <c:pt idx="185">
                  <c:v>40506</c:v>
                </c:pt>
                <c:pt idx="186">
                  <c:v>40507</c:v>
                </c:pt>
                <c:pt idx="187">
                  <c:v>40508</c:v>
                </c:pt>
                <c:pt idx="188">
                  <c:v>40511</c:v>
                </c:pt>
                <c:pt idx="189">
                  <c:v>40512</c:v>
                </c:pt>
                <c:pt idx="190">
                  <c:v>40513</c:v>
                </c:pt>
                <c:pt idx="191">
                  <c:v>40514</c:v>
                </c:pt>
                <c:pt idx="192">
                  <c:v>40515</c:v>
                </c:pt>
                <c:pt idx="193">
                  <c:v>40518</c:v>
                </c:pt>
                <c:pt idx="194">
                  <c:v>40519</c:v>
                </c:pt>
                <c:pt idx="195">
                  <c:v>40520</c:v>
                </c:pt>
                <c:pt idx="196">
                  <c:v>40521</c:v>
                </c:pt>
                <c:pt idx="197">
                  <c:v>40522</c:v>
                </c:pt>
                <c:pt idx="198">
                  <c:v>40525</c:v>
                </c:pt>
                <c:pt idx="199">
                  <c:v>40526</c:v>
                </c:pt>
                <c:pt idx="200">
                  <c:v>40527</c:v>
                </c:pt>
                <c:pt idx="201">
                  <c:v>40528</c:v>
                </c:pt>
                <c:pt idx="202">
                  <c:v>40529</c:v>
                </c:pt>
                <c:pt idx="203">
                  <c:v>40532</c:v>
                </c:pt>
                <c:pt idx="204">
                  <c:v>40533</c:v>
                </c:pt>
                <c:pt idx="205">
                  <c:v>40534</c:v>
                </c:pt>
                <c:pt idx="206">
                  <c:v>40535</c:v>
                </c:pt>
                <c:pt idx="207">
                  <c:v>40536</c:v>
                </c:pt>
                <c:pt idx="208">
                  <c:v>40539</c:v>
                </c:pt>
                <c:pt idx="209">
                  <c:v>40540</c:v>
                </c:pt>
                <c:pt idx="210">
                  <c:v>40541</c:v>
                </c:pt>
                <c:pt idx="211">
                  <c:v>40542</c:v>
                </c:pt>
                <c:pt idx="212">
                  <c:v>40543</c:v>
                </c:pt>
                <c:pt idx="213">
                  <c:v>40546</c:v>
                </c:pt>
                <c:pt idx="214">
                  <c:v>40547</c:v>
                </c:pt>
                <c:pt idx="215">
                  <c:v>40548</c:v>
                </c:pt>
                <c:pt idx="216">
                  <c:v>40549</c:v>
                </c:pt>
                <c:pt idx="217">
                  <c:v>40550</c:v>
                </c:pt>
                <c:pt idx="218">
                  <c:v>40553</c:v>
                </c:pt>
                <c:pt idx="219">
                  <c:v>40554</c:v>
                </c:pt>
                <c:pt idx="220">
                  <c:v>40555</c:v>
                </c:pt>
                <c:pt idx="221">
                  <c:v>40556</c:v>
                </c:pt>
                <c:pt idx="222">
                  <c:v>40557</c:v>
                </c:pt>
                <c:pt idx="223">
                  <c:v>40560</c:v>
                </c:pt>
                <c:pt idx="224">
                  <c:v>40561</c:v>
                </c:pt>
                <c:pt idx="225">
                  <c:v>40562</c:v>
                </c:pt>
                <c:pt idx="226">
                  <c:v>40563</c:v>
                </c:pt>
                <c:pt idx="227">
                  <c:v>40564</c:v>
                </c:pt>
                <c:pt idx="228">
                  <c:v>40567</c:v>
                </c:pt>
                <c:pt idx="229">
                  <c:v>40568</c:v>
                </c:pt>
                <c:pt idx="230">
                  <c:v>40569</c:v>
                </c:pt>
                <c:pt idx="231">
                  <c:v>40570</c:v>
                </c:pt>
                <c:pt idx="232">
                  <c:v>40571</c:v>
                </c:pt>
                <c:pt idx="233">
                  <c:v>40574</c:v>
                </c:pt>
                <c:pt idx="234">
                  <c:v>40575</c:v>
                </c:pt>
                <c:pt idx="235">
                  <c:v>40576</c:v>
                </c:pt>
                <c:pt idx="236">
                  <c:v>40577</c:v>
                </c:pt>
                <c:pt idx="237">
                  <c:v>40578</c:v>
                </c:pt>
                <c:pt idx="238">
                  <c:v>40581</c:v>
                </c:pt>
                <c:pt idx="239">
                  <c:v>40582</c:v>
                </c:pt>
                <c:pt idx="240">
                  <c:v>40583</c:v>
                </c:pt>
                <c:pt idx="241">
                  <c:v>40584</c:v>
                </c:pt>
                <c:pt idx="242">
                  <c:v>40585</c:v>
                </c:pt>
                <c:pt idx="243">
                  <c:v>40588</c:v>
                </c:pt>
                <c:pt idx="244">
                  <c:v>40589</c:v>
                </c:pt>
                <c:pt idx="245">
                  <c:v>40590</c:v>
                </c:pt>
                <c:pt idx="246">
                  <c:v>40591</c:v>
                </c:pt>
                <c:pt idx="247">
                  <c:v>40592</c:v>
                </c:pt>
                <c:pt idx="248">
                  <c:v>40595</c:v>
                </c:pt>
                <c:pt idx="249">
                  <c:v>40596</c:v>
                </c:pt>
              </c:numCache>
            </c:numRef>
          </c:cat>
          <c:val>
            <c:numRef>
              <c:f>prueba!$M$3:$M$252</c:f>
              <c:numCache>
                <c:formatCode>General</c:formatCode>
                <c:ptCount val="250"/>
                <c:pt idx="0">
                  <c:v>-3.6002037442574041E-3</c:v>
                </c:pt>
                <c:pt idx="1">
                  <c:v>1.6391457267130123E-3</c:v>
                </c:pt>
                <c:pt idx="2">
                  <c:v>-3.0530051417063781E-3</c:v>
                </c:pt>
                <c:pt idx="3">
                  <c:v>7.4433021324007576E-3</c:v>
                </c:pt>
                <c:pt idx="4">
                  <c:v>9.3801393931913762E-3</c:v>
                </c:pt>
                <c:pt idx="5">
                  <c:v>7.4759567709852988E-3</c:v>
                </c:pt>
                <c:pt idx="6">
                  <c:v>4.9529088881615285E-3</c:v>
                </c:pt>
                <c:pt idx="7">
                  <c:v>7.9979935639895648E-4</c:v>
                </c:pt>
                <c:pt idx="8">
                  <c:v>1.0927466287824605E-2</c:v>
                </c:pt>
                <c:pt idx="9">
                  <c:v>4.6405626742135183E-3</c:v>
                </c:pt>
                <c:pt idx="10">
                  <c:v>3.3590007222715247E-3</c:v>
                </c:pt>
                <c:pt idx="11">
                  <c:v>5.385330845611493E-3</c:v>
                </c:pt>
                <c:pt idx="12">
                  <c:v>1.9755655899536934E-3</c:v>
                </c:pt>
                <c:pt idx="13">
                  <c:v>2.8113914948949049E-3</c:v>
                </c:pt>
                <c:pt idx="14">
                  <c:v>-7.4716703656970904E-4</c:v>
                </c:pt>
                <c:pt idx="15">
                  <c:v>6.4602211160250667E-3</c:v>
                </c:pt>
                <c:pt idx="16">
                  <c:v>6.286895192713686E-3</c:v>
                </c:pt>
                <c:pt idx="17">
                  <c:v>8.2532402389855338E-4</c:v>
                </c:pt>
                <c:pt idx="18">
                  <c:v>7.9382278112947666E-4</c:v>
                </c:pt>
                <c:pt idx="19">
                  <c:v>1.606234486789425E-3</c:v>
                </c:pt>
                <c:pt idx="20">
                  <c:v>4.7470473602799906E-3</c:v>
                </c:pt>
                <c:pt idx="21">
                  <c:v>2.0160433411030229E-3</c:v>
                </c:pt>
                <c:pt idx="22">
                  <c:v>5.0200144279825979E-3</c:v>
                </c:pt>
                <c:pt idx="23">
                  <c:v>3.1530912794825632E-3</c:v>
                </c:pt>
                <c:pt idx="24">
                  <c:v>5.2939367022148028E-3</c:v>
                </c:pt>
                <c:pt idx="25">
                  <c:v>2.0821764520905879E-3</c:v>
                </c:pt>
                <c:pt idx="26">
                  <c:v>2.4000742138740711E-3</c:v>
                </c:pt>
                <c:pt idx="27">
                  <c:v>9.3527991283358022E-3</c:v>
                </c:pt>
                <c:pt idx="28">
                  <c:v>3.7709475371763643E-3</c:v>
                </c:pt>
                <c:pt idx="29">
                  <c:v>2.9698490033159574E-3</c:v>
                </c:pt>
                <c:pt idx="30">
                  <c:v>2.7772733340795299E-3</c:v>
                </c:pt>
                <c:pt idx="31">
                  <c:v>6.9587562019667905E-4</c:v>
                </c:pt>
                <c:pt idx="32">
                  <c:v>-3.8551442493212464E-4</c:v>
                </c:pt>
                <c:pt idx="33">
                  <c:v>6.3974968876884825E-3</c:v>
                </c:pt>
                <c:pt idx="34">
                  <c:v>1.6496131972925925E-3</c:v>
                </c:pt>
                <c:pt idx="35">
                  <c:v>4.7702269517918496E-4</c:v>
                </c:pt>
                <c:pt idx="36">
                  <c:v>6.0990400106856954E-3</c:v>
                </c:pt>
                <c:pt idx="37">
                  <c:v>3.1876700706311646E-3</c:v>
                </c:pt>
                <c:pt idx="38">
                  <c:v>-6.9976503036905009E-3</c:v>
                </c:pt>
                <c:pt idx="39">
                  <c:v>-1.8402347576641346E-3</c:v>
                </c:pt>
                <c:pt idx="40">
                  <c:v>7.4771052571024049E-3</c:v>
                </c:pt>
                <c:pt idx="41">
                  <c:v>1.4171033769279614E-3</c:v>
                </c:pt>
                <c:pt idx="42">
                  <c:v>-2.1877320072748127E-3</c:v>
                </c:pt>
                <c:pt idx="43">
                  <c:v>9.8728399392227165E-3</c:v>
                </c:pt>
                <c:pt idx="44">
                  <c:v>-1.0698731401139637E-2</c:v>
                </c:pt>
                <c:pt idx="45">
                  <c:v>-2.9651234823415587E-3</c:v>
                </c:pt>
                <c:pt idx="46">
                  <c:v>8.345912404261269E-3</c:v>
                </c:pt>
                <c:pt idx="47">
                  <c:v>-7.3404165901369252E-4</c:v>
                </c:pt>
                <c:pt idx="48">
                  <c:v>-2.3521692861451569E-3</c:v>
                </c:pt>
                <c:pt idx="49">
                  <c:v>-8.8225006989664529E-3</c:v>
                </c:pt>
                <c:pt idx="50">
                  <c:v>-2.8411636621690239E-3</c:v>
                </c:pt>
                <c:pt idx="51">
                  <c:v>-6.9073813518187987E-3</c:v>
                </c:pt>
                <c:pt idx="52">
                  <c:v>-1.2462518292893576E-2</c:v>
                </c:pt>
                <c:pt idx="53">
                  <c:v>2.7865786908964119E-2</c:v>
                </c:pt>
                <c:pt idx="54">
                  <c:v>-1.9221253958978846E-3</c:v>
                </c:pt>
                <c:pt idx="55">
                  <c:v>9.0662360232214821E-3</c:v>
                </c:pt>
                <c:pt idx="56">
                  <c:v>5.4167985723429356E-3</c:v>
                </c:pt>
                <c:pt idx="57">
                  <c:v>-1.239940824475641E-2</c:v>
                </c:pt>
                <c:pt idx="58">
                  <c:v>-1.3216786106573473E-3</c:v>
                </c:pt>
                <c:pt idx="59">
                  <c:v>2.3587529520137261E-3</c:v>
                </c:pt>
                <c:pt idx="60">
                  <c:v>-2.2592147184653768E-2</c:v>
                </c:pt>
                <c:pt idx="61">
                  <c:v>2.8013423669093753E-3</c:v>
                </c:pt>
                <c:pt idx="62">
                  <c:v>7.0010793040853597E-4</c:v>
                </c:pt>
                <c:pt idx="63">
                  <c:v>-1.1111609005081508E-2</c:v>
                </c:pt>
                <c:pt idx="64">
                  <c:v>1.0800687193939503E-2</c:v>
                </c:pt>
                <c:pt idx="65">
                  <c:v>1.7896541066102181E-2</c:v>
                </c:pt>
                <c:pt idx="66">
                  <c:v>2.8438001789287968E-3</c:v>
                </c:pt>
                <c:pt idx="67">
                  <c:v>3.2884200446279092E-3</c:v>
                </c:pt>
                <c:pt idx="68">
                  <c:v>-1.1502584789084831E-3</c:v>
                </c:pt>
                <c:pt idx="69">
                  <c:v>4.3908954306490569E-3</c:v>
                </c:pt>
                <c:pt idx="70">
                  <c:v>8.114688926197813E-3</c:v>
                </c:pt>
                <c:pt idx="71">
                  <c:v>-6.4346609344556605E-3</c:v>
                </c:pt>
                <c:pt idx="72">
                  <c:v>-6.420355663107986E-3</c:v>
                </c:pt>
                <c:pt idx="73">
                  <c:v>1.7128743007346976E-3</c:v>
                </c:pt>
                <c:pt idx="74">
                  <c:v>5.3041892156325404E-3</c:v>
                </c:pt>
                <c:pt idx="75">
                  <c:v>1.1203281513325825E-2</c:v>
                </c:pt>
                <c:pt idx="76">
                  <c:v>6.308590413153941E-3</c:v>
                </c:pt>
                <c:pt idx="77">
                  <c:v>7.2684307404652839E-3</c:v>
                </c:pt>
                <c:pt idx="78">
                  <c:v>7.218240990762799E-3</c:v>
                </c:pt>
                <c:pt idx="79">
                  <c:v>4.8875961210992662E-3</c:v>
                </c:pt>
                <c:pt idx="80">
                  <c:v>2.8071907798003551E-3</c:v>
                </c:pt>
                <c:pt idx="81">
                  <c:v>2.3699784325983452E-3</c:v>
                </c:pt>
                <c:pt idx="82">
                  <c:v>8.9577195242731555E-3</c:v>
                </c:pt>
                <c:pt idx="83">
                  <c:v>-2.5959281153443863E-3</c:v>
                </c:pt>
                <c:pt idx="84">
                  <c:v>-2.8459466422741911E-3</c:v>
                </c:pt>
                <c:pt idx="85">
                  <c:v>-5.4740163888984186E-3</c:v>
                </c:pt>
                <c:pt idx="86">
                  <c:v>-8.9535884065238902E-4</c:v>
                </c:pt>
                <c:pt idx="87">
                  <c:v>3.8978344421723935E-3</c:v>
                </c:pt>
                <c:pt idx="88">
                  <c:v>-1.5166430609027436E-2</c:v>
                </c:pt>
                <c:pt idx="89">
                  <c:v>-1.4254775173447661E-3</c:v>
                </c:pt>
                <c:pt idx="90">
                  <c:v>-6.0684934059850124E-3</c:v>
                </c:pt>
                <c:pt idx="91">
                  <c:v>2.7313759193568305E-3</c:v>
                </c:pt>
                <c:pt idx="92">
                  <c:v>1.3624396661096787E-3</c:v>
                </c:pt>
                <c:pt idx="93">
                  <c:v>1.2957279850883387E-2</c:v>
                </c:pt>
                <c:pt idx="94">
                  <c:v>8.1965557154416134E-3</c:v>
                </c:pt>
                <c:pt idx="95">
                  <c:v>9.34160263595607E-3</c:v>
                </c:pt>
                <c:pt idx="96">
                  <c:v>4.8746536413826775E-3</c:v>
                </c:pt>
                <c:pt idx="97">
                  <c:v>3.2855093686117386E-3</c:v>
                </c:pt>
                <c:pt idx="98">
                  <c:v>9.7703838384237251E-3</c:v>
                </c:pt>
                <c:pt idx="99">
                  <c:v>4.3918707709823691E-3</c:v>
                </c:pt>
                <c:pt idx="100">
                  <c:v>-1.7325783967398994E-3</c:v>
                </c:pt>
                <c:pt idx="101">
                  <c:v>-8.232589706505854E-3</c:v>
                </c:pt>
                <c:pt idx="102">
                  <c:v>1.6734444312776872E-3</c:v>
                </c:pt>
                <c:pt idx="103">
                  <c:v>3.7014033718444045E-3</c:v>
                </c:pt>
                <c:pt idx="104">
                  <c:v>4.5944404463023605E-3</c:v>
                </c:pt>
                <c:pt idx="105">
                  <c:v>1.1469175002669769E-2</c:v>
                </c:pt>
                <c:pt idx="106">
                  <c:v>6.2799087607701681E-3</c:v>
                </c:pt>
                <c:pt idx="107">
                  <c:v>5.5801273014314708E-3</c:v>
                </c:pt>
                <c:pt idx="108">
                  <c:v>3.4726806642640454E-3</c:v>
                </c:pt>
                <c:pt idx="109">
                  <c:v>2.3354187952218664E-3</c:v>
                </c:pt>
                <c:pt idx="110">
                  <c:v>5.5868609277159626E-4</c:v>
                </c:pt>
                <c:pt idx="111">
                  <c:v>-1.5059895601496776E-4</c:v>
                </c:pt>
                <c:pt idx="112">
                  <c:v>1.3597488624343035E-2</c:v>
                </c:pt>
                <c:pt idx="113">
                  <c:v>2.3737979373960241E-3</c:v>
                </c:pt>
                <c:pt idx="114">
                  <c:v>1.6325810864219216E-3</c:v>
                </c:pt>
                <c:pt idx="115">
                  <c:v>3.0211245956114352E-3</c:v>
                </c:pt>
                <c:pt idx="116">
                  <c:v>-1.4553691507654966E-3</c:v>
                </c:pt>
                <c:pt idx="117">
                  <c:v>6.1661688981558081E-3</c:v>
                </c:pt>
                <c:pt idx="118">
                  <c:v>-2.4424884378859498E-3</c:v>
                </c:pt>
                <c:pt idx="119">
                  <c:v>-1.1553281140385055E-2</c:v>
                </c:pt>
                <c:pt idx="120">
                  <c:v>8.4843417317505623E-4</c:v>
                </c:pt>
                <c:pt idx="121">
                  <c:v>2.7282746639162017E-3</c:v>
                </c:pt>
                <c:pt idx="122">
                  <c:v>2.4179641315910873E-3</c:v>
                </c:pt>
                <c:pt idx="123">
                  <c:v>8.286347073368781E-3</c:v>
                </c:pt>
                <c:pt idx="124">
                  <c:v>1.4563273599501618E-3</c:v>
                </c:pt>
                <c:pt idx="125">
                  <c:v>-3.6280114047131259E-3</c:v>
                </c:pt>
                <c:pt idx="126">
                  <c:v>-2.5410833733562703E-3</c:v>
                </c:pt>
                <c:pt idx="127">
                  <c:v>1.7896696955474771E-3</c:v>
                </c:pt>
                <c:pt idx="128">
                  <c:v>-5.8250549307602532E-3</c:v>
                </c:pt>
                <c:pt idx="129">
                  <c:v>-2.5977923634112024E-3</c:v>
                </c:pt>
                <c:pt idx="130">
                  <c:v>2.934510399373323E-3</c:v>
                </c:pt>
                <c:pt idx="131">
                  <c:v>8.5957955278527128E-3</c:v>
                </c:pt>
                <c:pt idx="132">
                  <c:v>-5.5978092588585774E-4</c:v>
                </c:pt>
                <c:pt idx="133">
                  <c:v>1.6344309059716636E-2</c:v>
                </c:pt>
                <c:pt idx="134">
                  <c:v>4.1712516300379098E-3</c:v>
                </c:pt>
                <c:pt idx="135">
                  <c:v>6.54497577139985E-3</c:v>
                </c:pt>
                <c:pt idx="136">
                  <c:v>4.5686392734611055E-3</c:v>
                </c:pt>
                <c:pt idx="137">
                  <c:v>-9.1014317480590237E-4</c:v>
                </c:pt>
                <c:pt idx="138">
                  <c:v>2.2516881455313027E-3</c:v>
                </c:pt>
                <c:pt idx="139">
                  <c:v>1.572212895540934E-2</c:v>
                </c:pt>
                <c:pt idx="140">
                  <c:v>1.9021816098557024E-3</c:v>
                </c:pt>
                <c:pt idx="141">
                  <c:v>4.2211792107742663E-3</c:v>
                </c:pt>
                <c:pt idx="142">
                  <c:v>3.6484894484183723E-4</c:v>
                </c:pt>
                <c:pt idx="143">
                  <c:v>1.2160347340957345E-3</c:v>
                </c:pt>
                <c:pt idx="144">
                  <c:v>9.0656465342488658E-3</c:v>
                </c:pt>
                <c:pt idx="145">
                  <c:v>6.1564563909256159E-4</c:v>
                </c:pt>
                <c:pt idx="146">
                  <c:v>-2.4652810876587541E-4</c:v>
                </c:pt>
                <c:pt idx="147">
                  <c:v>4.01515186405314E-4</c:v>
                </c:pt>
                <c:pt idx="148">
                  <c:v>7.112243827143188E-3</c:v>
                </c:pt>
                <c:pt idx="149">
                  <c:v>2.8760596504027753E-3</c:v>
                </c:pt>
                <c:pt idx="150">
                  <c:v>1.9659081992832467E-3</c:v>
                </c:pt>
                <c:pt idx="151">
                  <c:v>2.12524192924737E-3</c:v>
                </c:pt>
                <c:pt idx="152">
                  <c:v>1.1910037018529043E-4</c:v>
                </c:pt>
                <c:pt idx="153">
                  <c:v>4.4274446040892187E-3</c:v>
                </c:pt>
                <c:pt idx="154">
                  <c:v>-6.2822336502552914E-4</c:v>
                </c:pt>
                <c:pt idx="155">
                  <c:v>1.0047173217161696E-2</c:v>
                </c:pt>
                <c:pt idx="156">
                  <c:v>5.6205456235080969E-3</c:v>
                </c:pt>
                <c:pt idx="157">
                  <c:v>6.6792061422886397E-4</c:v>
                </c:pt>
                <c:pt idx="158">
                  <c:v>2.8862799970093026E-3</c:v>
                </c:pt>
                <c:pt idx="159">
                  <c:v>1.7959738274927186E-3</c:v>
                </c:pt>
                <c:pt idx="160">
                  <c:v>2.2003456781506218E-3</c:v>
                </c:pt>
                <c:pt idx="161">
                  <c:v>9.0159054692210468E-3</c:v>
                </c:pt>
                <c:pt idx="162">
                  <c:v>3.6978925083691106E-3</c:v>
                </c:pt>
                <c:pt idx="163">
                  <c:v>1.5981825011502785E-3</c:v>
                </c:pt>
                <c:pt idx="164">
                  <c:v>3.3689490215866634E-3</c:v>
                </c:pt>
                <c:pt idx="165">
                  <c:v>-2.4587163545417823E-3</c:v>
                </c:pt>
                <c:pt idx="166">
                  <c:v>3.4822485066280306E-3</c:v>
                </c:pt>
                <c:pt idx="167">
                  <c:v>4.6326489749712353E-3</c:v>
                </c:pt>
                <c:pt idx="168">
                  <c:v>2.0491653194953953E-3</c:v>
                </c:pt>
                <c:pt idx="169">
                  <c:v>3.7556155051066209E-3</c:v>
                </c:pt>
                <c:pt idx="170">
                  <c:v>1.7141048607900247E-3</c:v>
                </c:pt>
                <c:pt idx="171">
                  <c:v>-1.5242697454450815E-3</c:v>
                </c:pt>
                <c:pt idx="172">
                  <c:v>4.4337338019424261E-3</c:v>
                </c:pt>
                <c:pt idx="173">
                  <c:v>5.6007955079104606E-3</c:v>
                </c:pt>
                <c:pt idx="174">
                  <c:v>3.4368780273173389E-3</c:v>
                </c:pt>
                <c:pt idx="175">
                  <c:v>1.0663174041294445E-2</c:v>
                </c:pt>
                <c:pt idx="176">
                  <c:v>5.0358409382462747E-3</c:v>
                </c:pt>
                <c:pt idx="177">
                  <c:v>2.6042586293895751E-3</c:v>
                </c:pt>
                <c:pt idx="178">
                  <c:v>1.73192211199559E-3</c:v>
                </c:pt>
                <c:pt idx="179">
                  <c:v>3.2860392393080471E-4</c:v>
                </c:pt>
                <c:pt idx="180">
                  <c:v>6.3409228939009842E-4</c:v>
                </c:pt>
                <c:pt idx="181">
                  <c:v>-2.0014269567904855E-3</c:v>
                </c:pt>
                <c:pt idx="182">
                  <c:v>3.9245518909248331E-3</c:v>
                </c:pt>
                <c:pt idx="183">
                  <c:v>1.3056189408337442E-3</c:v>
                </c:pt>
                <c:pt idx="184">
                  <c:v>-7.9567542293788023E-3</c:v>
                </c:pt>
                <c:pt idx="185">
                  <c:v>9.3948214763009217E-3</c:v>
                </c:pt>
                <c:pt idx="186">
                  <c:v>3.8657298833386514E-3</c:v>
                </c:pt>
                <c:pt idx="187">
                  <c:v>-1.6955962884110287E-3</c:v>
                </c:pt>
                <c:pt idx="188">
                  <c:v>-3.6474945478201016E-3</c:v>
                </c:pt>
                <c:pt idx="189">
                  <c:v>-1.4532278596401231E-3</c:v>
                </c:pt>
                <c:pt idx="190">
                  <c:v>1.3885393406675915E-2</c:v>
                </c:pt>
                <c:pt idx="191">
                  <c:v>1.0859406597692394E-2</c:v>
                </c:pt>
                <c:pt idx="192">
                  <c:v>2.2443662413771672E-3</c:v>
                </c:pt>
                <c:pt idx="193">
                  <c:v>2.5236698997368593E-3</c:v>
                </c:pt>
                <c:pt idx="194">
                  <c:v>3.9659426999214152E-3</c:v>
                </c:pt>
                <c:pt idx="195">
                  <c:v>7.2499490704455846E-4</c:v>
                </c:pt>
                <c:pt idx="196">
                  <c:v>2.8636105998578881E-3</c:v>
                </c:pt>
                <c:pt idx="197">
                  <c:v>3.1524460107170554E-3</c:v>
                </c:pt>
                <c:pt idx="198">
                  <c:v>5.7005661128783853E-3</c:v>
                </c:pt>
                <c:pt idx="199">
                  <c:v>3.0040105488761066E-3</c:v>
                </c:pt>
                <c:pt idx="200">
                  <c:v>-2.5395518775520607E-4</c:v>
                </c:pt>
                <c:pt idx="201">
                  <c:v>1.6367231873492985E-3</c:v>
                </c:pt>
                <c:pt idx="202">
                  <c:v>2.0982018542832835E-3</c:v>
                </c:pt>
                <c:pt idx="203">
                  <c:v>1.7716800698837974E-3</c:v>
                </c:pt>
                <c:pt idx="204">
                  <c:v>8.4348157789913038E-3</c:v>
                </c:pt>
                <c:pt idx="205">
                  <c:v>3.0110381930981873E-3</c:v>
                </c:pt>
                <c:pt idx="206">
                  <c:v>1.6535604428502609E-3</c:v>
                </c:pt>
                <c:pt idx="207">
                  <c:v>1.5434214034352241E-4</c:v>
                </c:pt>
                <c:pt idx="208">
                  <c:v>1.7515259854328823E-3</c:v>
                </c:pt>
                <c:pt idx="209">
                  <c:v>1.9997947369108727E-3</c:v>
                </c:pt>
                <c:pt idx="210">
                  <c:v>4.8667372116873008E-3</c:v>
                </c:pt>
                <c:pt idx="211">
                  <c:v>-6.2671057277020967E-4</c:v>
                </c:pt>
                <c:pt idx="212">
                  <c:v>2.7349195986573747E-3</c:v>
                </c:pt>
                <c:pt idx="213">
                  <c:v>7.4381903226160163E-3</c:v>
                </c:pt>
                <c:pt idx="214">
                  <c:v>3.2764861301343203E-3</c:v>
                </c:pt>
                <c:pt idx="215">
                  <c:v>2.8404162072340677E-3</c:v>
                </c:pt>
                <c:pt idx="216">
                  <c:v>2.5916119707167342E-3</c:v>
                </c:pt>
                <c:pt idx="217">
                  <c:v>-6.1226438565995791E-4</c:v>
                </c:pt>
                <c:pt idx="218">
                  <c:v>-1.4995364862606282E-3</c:v>
                </c:pt>
                <c:pt idx="219">
                  <c:v>6.5270588251091794E-3</c:v>
                </c:pt>
                <c:pt idx="220">
                  <c:v>8.9749012443758516E-3</c:v>
                </c:pt>
                <c:pt idx="221">
                  <c:v>1.1959625928191601E-3</c:v>
                </c:pt>
                <c:pt idx="222">
                  <c:v>1.8380251393390274E-3</c:v>
                </c:pt>
                <c:pt idx="223">
                  <c:v>1.0971988806296701E-3</c:v>
                </c:pt>
                <c:pt idx="224">
                  <c:v>5.8776516723761021E-3</c:v>
                </c:pt>
                <c:pt idx="225">
                  <c:v>-2.0459110181339515E-3</c:v>
                </c:pt>
                <c:pt idx="226">
                  <c:v>-3.7766591777503617E-3</c:v>
                </c:pt>
                <c:pt idx="227">
                  <c:v>1.791720490273324E-3</c:v>
                </c:pt>
                <c:pt idx="228">
                  <c:v>4.4383735612142303E-3</c:v>
                </c:pt>
                <c:pt idx="229">
                  <c:v>1.3578788328175899E-3</c:v>
                </c:pt>
                <c:pt idx="230">
                  <c:v>4.9202626070095085E-3</c:v>
                </c:pt>
                <c:pt idx="231">
                  <c:v>2.6457067601561189E-3</c:v>
                </c:pt>
                <c:pt idx="232">
                  <c:v>-5.3073962649016152E-3</c:v>
                </c:pt>
                <c:pt idx="233">
                  <c:v>1.3043036142870506E-4</c:v>
                </c:pt>
                <c:pt idx="234">
                  <c:v>9.8967303351874328E-3</c:v>
                </c:pt>
                <c:pt idx="235">
                  <c:v>3.274005297220516E-3</c:v>
                </c:pt>
                <c:pt idx="236">
                  <c:v>1.8742003871458908E-3</c:v>
                </c:pt>
                <c:pt idx="237">
                  <c:v>2.0946857454318115E-3</c:v>
                </c:pt>
                <c:pt idx="238">
                  <c:v>5.2453513713188911E-3</c:v>
                </c:pt>
                <c:pt idx="239">
                  <c:v>4.2800358806388671E-3</c:v>
                </c:pt>
                <c:pt idx="240">
                  <c:v>-2.1088927586667178E-3</c:v>
                </c:pt>
                <c:pt idx="241">
                  <c:v>5.0528152926270008E-4</c:v>
                </c:pt>
                <c:pt idx="242">
                  <c:v>6.5641196012051171E-3</c:v>
                </c:pt>
                <c:pt idx="243">
                  <c:v>4.8335338154712904E-3</c:v>
                </c:pt>
                <c:pt idx="244">
                  <c:v>1.4026508596183555E-3</c:v>
                </c:pt>
                <c:pt idx="245">
                  <c:v>6.1675350629923839E-3</c:v>
                </c:pt>
                <c:pt idx="246">
                  <c:v>2.6369848792350968E-3</c:v>
                </c:pt>
                <c:pt idx="247">
                  <c:v>3.7082314833537409E-3</c:v>
                </c:pt>
                <c:pt idx="248">
                  <c:v>-3.7267225595661968E-3</c:v>
                </c:pt>
                <c:pt idx="249">
                  <c:v>-2.346814202527732E-3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01824"/>
        <c:axId val="81319424"/>
      </c:lineChart>
      <c:dateAx>
        <c:axId val="72701824"/>
        <c:scaling>
          <c:orientation val="minMax"/>
        </c:scaling>
        <c:delete val="0"/>
        <c:axPos val="b"/>
        <c:numFmt formatCode="[$-409]d\-mmm\-yy;@" sourceLinked="1"/>
        <c:majorTickMark val="none"/>
        <c:minorTickMark val="none"/>
        <c:tickLblPos val="nextTo"/>
        <c:crossAx val="81319424"/>
        <c:crosses val="autoZero"/>
        <c:auto val="1"/>
        <c:lblOffset val="100"/>
        <c:baseTimeUnit val="days"/>
      </c:dateAx>
      <c:valAx>
        <c:axId val="8131942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7270182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prueba!$K$2</c:f>
              <c:strCache>
                <c:ptCount val="1"/>
                <c:pt idx="0">
                  <c:v>ISE</c:v>
                </c:pt>
              </c:strCache>
            </c:strRef>
          </c:tx>
          <c:marker>
            <c:symbol val="none"/>
          </c:marker>
          <c:cat>
            <c:numRef>
              <c:f>prueba!$A$3:$A$252</c:f>
              <c:numCache>
                <c:formatCode>[$-409]d\-mmm\-yy;@</c:formatCode>
                <c:ptCount val="250"/>
                <c:pt idx="0">
                  <c:v>40232</c:v>
                </c:pt>
                <c:pt idx="1">
                  <c:v>40233</c:v>
                </c:pt>
                <c:pt idx="2">
                  <c:v>40234</c:v>
                </c:pt>
                <c:pt idx="3">
                  <c:v>40235</c:v>
                </c:pt>
                <c:pt idx="4">
                  <c:v>40238</c:v>
                </c:pt>
                <c:pt idx="5">
                  <c:v>40239</c:v>
                </c:pt>
                <c:pt idx="6">
                  <c:v>40240</c:v>
                </c:pt>
                <c:pt idx="7">
                  <c:v>40241</c:v>
                </c:pt>
                <c:pt idx="8">
                  <c:v>40242</c:v>
                </c:pt>
                <c:pt idx="9">
                  <c:v>40245</c:v>
                </c:pt>
                <c:pt idx="10">
                  <c:v>40246</c:v>
                </c:pt>
                <c:pt idx="11">
                  <c:v>40247</c:v>
                </c:pt>
                <c:pt idx="12">
                  <c:v>40248</c:v>
                </c:pt>
                <c:pt idx="13">
                  <c:v>40249</c:v>
                </c:pt>
                <c:pt idx="14">
                  <c:v>40252</c:v>
                </c:pt>
                <c:pt idx="15">
                  <c:v>40253</c:v>
                </c:pt>
                <c:pt idx="16">
                  <c:v>40254</c:v>
                </c:pt>
                <c:pt idx="17">
                  <c:v>40255</c:v>
                </c:pt>
                <c:pt idx="18">
                  <c:v>40256</c:v>
                </c:pt>
                <c:pt idx="19">
                  <c:v>40259</c:v>
                </c:pt>
                <c:pt idx="20">
                  <c:v>40260</c:v>
                </c:pt>
                <c:pt idx="21">
                  <c:v>40261</c:v>
                </c:pt>
                <c:pt idx="22">
                  <c:v>40262</c:v>
                </c:pt>
                <c:pt idx="23">
                  <c:v>40263</c:v>
                </c:pt>
                <c:pt idx="24">
                  <c:v>40266</c:v>
                </c:pt>
                <c:pt idx="25">
                  <c:v>40267</c:v>
                </c:pt>
                <c:pt idx="26">
                  <c:v>40268</c:v>
                </c:pt>
                <c:pt idx="27">
                  <c:v>40269</c:v>
                </c:pt>
                <c:pt idx="28">
                  <c:v>40270</c:v>
                </c:pt>
                <c:pt idx="29">
                  <c:v>40273</c:v>
                </c:pt>
                <c:pt idx="30">
                  <c:v>40274</c:v>
                </c:pt>
                <c:pt idx="31">
                  <c:v>40275</c:v>
                </c:pt>
                <c:pt idx="32">
                  <c:v>40276</c:v>
                </c:pt>
                <c:pt idx="33">
                  <c:v>40277</c:v>
                </c:pt>
                <c:pt idx="34">
                  <c:v>40280</c:v>
                </c:pt>
                <c:pt idx="35">
                  <c:v>40281</c:v>
                </c:pt>
                <c:pt idx="36">
                  <c:v>40282</c:v>
                </c:pt>
                <c:pt idx="37">
                  <c:v>40283</c:v>
                </c:pt>
                <c:pt idx="38">
                  <c:v>40284</c:v>
                </c:pt>
                <c:pt idx="39">
                  <c:v>40287</c:v>
                </c:pt>
                <c:pt idx="40">
                  <c:v>40288</c:v>
                </c:pt>
                <c:pt idx="41">
                  <c:v>40289</c:v>
                </c:pt>
                <c:pt idx="42">
                  <c:v>40290</c:v>
                </c:pt>
                <c:pt idx="43">
                  <c:v>40294</c:v>
                </c:pt>
                <c:pt idx="44">
                  <c:v>40295</c:v>
                </c:pt>
                <c:pt idx="45">
                  <c:v>40296</c:v>
                </c:pt>
                <c:pt idx="46">
                  <c:v>40297</c:v>
                </c:pt>
                <c:pt idx="47">
                  <c:v>40298</c:v>
                </c:pt>
                <c:pt idx="48">
                  <c:v>40301</c:v>
                </c:pt>
                <c:pt idx="49">
                  <c:v>40302</c:v>
                </c:pt>
                <c:pt idx="50">
                  <c:v>40303</c:v>
                </c:pt>
                <c:pt idx="51">
                  <c:v>40304</c:v>
                </c:pt>
                <c:pt idx="52">
                  <c:v>40305</c:v>
                </c:pt>
                <c:pt idx="53">
                  <c:v>40308</c:v>
                </c:pt>
                <c:pt idx="54">
                  <c:v>40309</c:v>
                </c:pt>
                <c:pt idx="55">
                  <c:v>40310</c:v>
                </c:pt>
                <c:pt idx="56">
                  <c:v>40311</c:v>
                </c:pt>
                <c:pt idx="57">
                  <c:v>40312</c:v>
                </c:pt>
                <c:pt idx="58">
                  <c:v>40315</c:v>
                </c:pt>
                <c:pt idx="59">
                  <c:v>40316</c:v>
                </c:pt>
                <c:pt idx="60">
                  <c:v>40318</c:v>
                </c:pt>
                <c:pt idx="61">
                  <c:v>40319</c:v>
                </c:pt>
                <c:pt idx="62">
                  <c:v>40322</c:v>
                </c:pt>
                <c:pt idx="63">
                  <c:v>40323</c:v>
                </c:pt>
                <c:pt idx="64">
                  <c:v>40324</c:v>
                </c:pt>
                <c:pt idx="65">
                  <c:v>40325</c:v>
                </c:pt>
                <c:pt idx="66">
                  <c:v>40326</c:v>
                </c:pt>
                <c:pt idx="67">
                  <c:v>40329</c:v>
                </c:pt>
                <c:pt idx="68">
                  <c:v>40330</c:v>
                </c:pt>
                <c:pt idx="69">
                  <c:v>40331</c:v>
                </c:pt>
                <c:pt idx="70">
                  <c:v>40332</c:v>
                </c:pt>
                <c:pt idx="71">
                  <c:v>40333</c:v>
                </c:pt>
                <c:pt idx="72">
                  <c:v>40336</c:v>
                </c:pt>
                <c:pt idx="73">
                  <c:v>40337</c:v>
                </c:pt>
                <c:pt idx="74">
                  <c:v>40338</c:v>
                </c:pt>
                <c:pt idx="75">
                  <c:v>40339</c:v>
                </c:pt>
                <c:pt idx="76">
                  <c:v>40340</c:v>
                </c:pt>
                <c:pt idx="77">
                  <c:v>40343</c:v>
                </c:pt>
                <c:pt idx="78">
                  <c:v>40344</c:v>
                </c:pt>
                <c:pt idx="79">
                  <c:v>40345</c:v>
                </c:pt>
                <c:pt idx="80">
                  <c:v>40346</c:v>
                </c:pt>
                <c:pt idx="81">
                  <c:v>40347</c:v>
                </c:pt>
                <c:pt idx="82">
                  <c:v>40350</c:v>
                </c:pt>
                <c:pt idx="83">
                  <c:v>40351</c:v>
                </c:pt>
                <c:pt idx="84">
                  <c:v>40352</c:v>
                </c:pt>
                <c:pt idx="85">
                  <c:v>40353</c:v>
                </c:pt>
                <c:pt idx="86">
                  <c:v>40354</c:v>
                </c:pt>
                <c:pt idx="87">
                  <c:v>40357</c:v>
                </c:pt>
                <c:pt idx="88">
                  <c:v>40358</c:v>
                </c:pt>
                <c:pt idx="89">
                  <c:v>40359</c:v>
                </c:pt>
                <c:pt idx="90">
                  <c:v>40360</c:v>
                </c:pt>
                <c:pt idx="91">
                  <c:v>40361</c:v>
                </c:pt>
                <c:pt idx="92">
                  <c:v>40364</c:v>
                </c:pt>
                <c:pt idx="93">
                  <c:v>40365</c:v>
                </c:pt>
                <c:pt idx="94">
                  <c:v>40366</c:v>
                </c:pt>
                <c:pt idx="95">
                  <c:v>40367</c:v>
                </c:pt>
                <c:pt idx="96">
                  <c:v>40368</c:v>
                </c:pt>
                <c:pt idx="97">
                  <c:v>40371</c:v>
                </c:pt>
                <c:pt idx="98">
                  <c:v>40372</c:v>
                </c:pt>
                <c:pt idx="99">
                  <c:v>40373</c:v>
                </c:pt>
                <c:pt idx="100">
                  <c:v>40374</c:v>
                </c:pt>
                <c:pt idx="101">
                  <c:v>40375</c:v>
                </c:pt>
                <c:pt idx="102">
                  <c:v>40378</c:v>
                </c:pt>
                <c:pt idx="103">
                  <c:v>40379</c:v>
                </c:pt>
                <c:pt idx="104">
                  <c:v>40380</c:v>
                </c:pt>
                <c:pt idx="105">
                  <c:v>40381</c:v>
                </c:pt>
                <c:pt idx="106">
                  <c:v>40382</c:v>
                </c:pt>
                <c:pt idx="107">
                  <c:v>40385</c:v>
                </c:pt>
                <c:pt idx="108">
                  <c:v>40386</c:v>
                </c:pt>
                <c:pt idx="109">
                  <c:v>40387</c:v>
                </c:pt>
                <c:pt idx="110">
                  <c:v>40388</c:v>
                </c:pt>
                <c:pt idx="111">
                  <c:v>40389</c:v>
                </c:pt>
                <c:pt idx="112">
                  <c:v>40392</c:v>
                </c:pt>
                <c:pt idx="113">
                  <c:v>40393</c:v>
                </c:pt>
                <c:pt idx="114">
                  <c:v>40394</c:v>
                </c:pt>
                <c:pt idx="115">
                  <c:v>40395</c:v>
                </c:pt>
                <c:pt idx="116">
                  <c:v>40396</c:v>
                </c:pt>
                <c:pt idx="117">
                  <c:v>40399</c:v>
                </c:pt>
                <c:pt idx="118">
                  <c:v>40400</c:v>
                </c:pt>
                <c:pt idx="119">
                  <c:v>40401</c:v>
                </c:pt>
                <c:pt idx="120">
                  <c:v>40402</c:v>
                </c:pt>
                <c:pt idx="121">
                  <c:v>40403</c:v>
                </c:pt>
                <c:pt idx="122">
                  <c:v>40406</c:v>
                </c:pt>
                <c:pt idx="123">
                  <c:v>40407</c:v>
                </c:pt>
                <c:pt idx="124">
                  <c:v>40408</c:v>
                </c:pt>
                <c:pt idx="125">
                  <c:v>40409</c:v>
                </c:pt>
                <c:pt idx="126">
                  <c:v>40410</c:v>
                </c:pt>
                <c:pt idx="127">
                  <c:v>40413</c:v>
                </c:pt>
                <c:pt idx="128">
                  <c:v>40414</c:v>
                </c:pt>
                <c:pt idx="129">
                  <c:v>40415</c:v>
                </c:pt>
                <c:pt idx="130">
                  <c:v>40416</c:v>
                </c:pt>
                <c:pt idx="131">
                  <c:v>40417</c:v>
                </c:pt>
                <c:pt idx="132">
                  <c:v>40421</c:v>
                </c:pt>
                <c:pt idx="133">
                  <c:v>40422</c:v>
                </c:pt>
                <c:pt idx="134">
                  <c:v>40423</c:v>
                </c:pt>
                <c:pt idx="135">
                  <c:v>40424</c:v>
                </c:pt>
                <c:pt idx="136">
                  <c:v>40427</c:v>
                </c:pt>
                <c:pt idx="137">
                  <c:v>40428</c:v>
                </c:pt>
                <c:pt idx="138">
                  <c:v>40429</c:v>
                </c:pt>
                <c:pt idx="139">
                  <c:v>40434</c:v>
                </c:pt>
                <c:pt idx="140">
                  <c:v>40435</c:v>
                </c:pt>
                <c:pt idx="141">
                  <c:v>40436</c:v>
                </c:pt>
                <c:pt idx="142">
                  <c:v>40437</c:v>
                </c:pt>
                <c:pt idx="143">
                  <c:v>40438</c:v>
                </c:pt>
                <c:pt idx="144">
                  <c:v>40441</c:v>
                </c:pt>
                <c:pt idx="145">
                  <c:v>40442</c:v>
                </c:pt>
                <c:pt idx="146">
                  <c:v>40443</c:v>
                </c:pt>
                <c:pt idx="147">
                  <c:v>40444</c:v>
                </c:pt>
                <c:pt idx="148">
                  <c:v>40445</c:v>
                </c:pt>
                <c:pt idx="149">
                  <c:v>40448</c:v>
                </c:pt>
                <c:pt idx="150">
                  <c:v>40449</c:v>
                </c:pt>
                <c:pt idx="151">
                  <c:v>40450</c:v>
                </c:pt>
                <c:pt idx="152">
                  <c:v>40451</c:v>
                </c:pt>
                <c:pt idx="153">
                  <c:v>40452</c:v>
                </c:pt>
                <c:pt idx="154">
                  <c:v>40455</c:v>
                </c:pt>
                <c:pt idx="155">
                  <c:v>40456</c:v>
                </c:pt>
                <c:pt idx="156">
                  <c:v>40457</c:v>
                </c:pt>
                <c:pt idx="157">
                  <c:v>40458</c:v>
                </c:pt>
                <c:pt idx="158">
                  <c:v>40459</c:v>
                </c:pt>
                <c:pt idx="159">
                  <c:v>40462</c:v>
                </c:pt>
                <c:pt idx="160">
                  <c:v>40463</c:v>
                </c:pt>
                <c:pt idx="161">
                  <c:v>40464</c:v>
                </c:pt>
                <c:pt idx="162">
                  <c:v>40465</c:v>
                </c:pt>
                <c:pt idx="163">
                  <c:v>40466</c:v>
                </c:pt>
                <c:pt idx="164">
                  <c:v>40469</c:v>
                </c:pt>
                <c:pt idx="165">
                  <c:v>40470</c:v>
                </c:pt>
                <c:pt idx="166">
                  <c:v>40471</c:v>
                </c:pt>
                <c:pt idx="167">
                  <c:v>40472</c:v>
                </c:pt>
                <c:pt idx="168">
                  <c:v>40473</c:v>
                </c:pt>
                <c:pt idx="169">
                  <c:v>40476</c:v>
                </c:pt>
                <c:pt idx="170">
                  <c:v>40477</c:v>
                </c:pt>
                <c:pt idx="171">
                  <c:v>40478</c:v>
                </c:pt>
                <c:pt idx="172">
                  <c:v>40483</c:v>
                </c:pt>
                <c:pt idx="173">
                  <c:v>40484</c:v>
                </c:pt>
                <c:pt idx="174">
                  <c:v>40485</c:v>
                </c:pt>
                <c:pt idx="175">
                  <c:v>40486</c:v>
                </c:pt>
                <c:pt idx="176">
                  <c:v>40487</c:v>
                </c:pt>
                <c:pt idx="177">
                  <c:v>40490</c:v>
                </c:pt>
                <c:pt idx="178">
                  <c:v>40491</c:v>
                </c:pt>
                <c:pt idx="179">
                  <c:v>40492</c:v>
                </c:pt>
                <c:pt idx="180">
                  <c:v>40493</c:v>
                </c:pt>
                <c:pt idx="181">
                  <c:v>40494</c:v>
                </c:pt>
                <c:pt idx="182">
                  <c:v>40497</c:v>
                </c:pt>
                <c:pt idx="183">
                  <c:v>40504</c:v>
                </c:pt>
                <c:pt idx="184">
                  <c:v>40505</c:v>
                </c:pt>
                <c:pt idx="185">
                  <c:v>40506</c:v>
                </c:pt>
                <c:pt idx="186">
                  <c:v>40507</c:v>
                </c:pt>
                <c:pt idx="187">
                  <c:v>40508</c:v>
                </c:pt>
                <c:pt idx="188">
                  <c:v>40511</c:v>
                </c:pt>
                <c:pt idx="189">
                  <c:v>40512</c:v>
                </c:pt>
                <c:pt idx="190">
                  <c:v>40513</c:v>
                </c:pt>
                <c:pt idx="191">
                  <c:v>40514</c:v>
                </c:pt>
                <c:pt idx="192">
                  <c:v>40515</c:v>
                </c:pt>
                <c:pt idx="193">
                  <c:v>40518</c:v>
                </c:pt>
                <c:pt idx="194">
                  <c:v>40519</c:v>
                </c:pt>
                <c:pt idx="195">
                  <c:v>40520</c:v>
                </c:pt>
                <c:pt idx="196">
                  <c:v>40521</c:v>
                </c:pt>
                <c:pt idx="197">
                  <c:v>40522</c:v>
                </c:pt>
                <c:pt idx="198">
                  <c:v>40525</c:v>
                </c:pt>
                <c:pt idx="199">
                  <c:v>40526</c:v>
                </c:pt>
                <c:pt idx="200">
                  <c:v>40527</c:v>
                </c:pt>
                <c:pt idx="201">
                  <c:v>40528</c:v>
                </c:pt>
                <c:pt idx="202">
                  <c:v>40529</c:v>
                </c:pt>
                <c:pt idx="203">
                  <c:v>40532</c:v>
                </c:pt>
                <c:pt idx="204">
                  <c:v>40533</c:v>
                </c:pt>
                <c:pt idx="205">
                  <c:v>40534</c:v>
                </c:pt>
                <c:pt idx="206">
                  <c:v>40535</c:v>
                </c:pt>
                <c:pt idx="207">
                  <c:v>40536</c:v>
                </c:pt>
                <c:pt idx="208">
                  <c:v>40539</c:v>
                </c:pt>
                <c:pt idx="209">
                  <c:v>40540</c:v>
                </c:pt>
                <c:pt idx="210">
                  <c:v>40541</c:v>
                </c:pt>
                <c:pt idx="211">
                  <c:v>40542</c:v>
                </c:pt>
                <c:pt idx="212">
                  <c:v>40543</c:v>
                </c:pt>
                <c:pt idx="213">
                  <c:v>40546</c:v>
                </c:pt>
                <c:pt idx="214">
                  <c:v>40547</c:v>
                </c:pt>
                <c:pt idx="215">
                  <c:v>40548</c:v>
                </c:pt>
                <c:pt idx="216">
                  <c:v>40549</c:v>
                </c:pt>
                <c:pt idx="217">
                  <c:v>40550</c:v>
                </c:pt>
                <c:pt idx="218">
                  <c:v>40553</c:v>
                </c:pt>
                <c:pt idx="219">
                  <c:v>40554</c:v>
                </c:pt>
                <c:pt idx="220">
                  <c:v>40555</c:v>
                </c:pt>
                <c:pt idx="221">
                  <c:v>40556</c:v>
                </c:pt>
                <c:pt idx="222">
                  <c:v>40557</c:v>
                </c:pt>
                <c:pt idx="223">
                  <c:v>40560</c:v>
                </c:pt>
                <c:pt idx="224">
                  <c:v>40561</c:v>
                </c:pt>
                <c:pt idx="225">
                  <c:v>40562</c:v>
                </c:pt>
                <c:pt idx="226">
                  <c:v>40563</c:v>
                </c:pt>
                <c:pt idx="227">
                  <c:v>40564</c:v>
                </c:pt>
                <c:pt idx="228">
                  <c:v>40567</c:v>
                </c:pt>
                <c:pt idx="229">
                  <c:v>40568</c:v>
                </c:pt>
                <c:pt idx="230">
                  <c:v>40569</c:v>
                </c:pt>
                <c:pt idx="231">
                  <c:v>40570</c:v>
                </c:pt>
                <c:pt idx="232">
                  <c:v>40571</c:v>
                </c:pt>
                <c:pt idx="233">
                  <c:v>40574</c:v>
                </c:pt>
                <c:pt idx="234">
                  <c:v>40575</c:v>
                </c:pt>
                <c:pt idx="235">
                  <c:v>40576</c:v>
                </c:pt>
                <c:pt idx="236">
                  <c:v>40577</c:v>
                </c:pt>
                <c:pt idx="237">
                  <c:v>40578</c:v>
                </c:pt>
                <c:pt idx="238">
                  <c:v>40581</c:v>
                </c:pt>
                <c:pt idx="239">
                  <c:v>40582</c:v>
                </c:pt>
                <c:pt idx="240">
                  <c:v>40583</c:v>
                </c:pt>
                <c:pt idx="241">
                  <c:v>40584</c:v>
                </c:pt>
                <c:pt idx="242">
                  <c:v>40585</c:v>
                </c:pt>
                <c:pt idx="243">
                  <c:v>40588</c:v>
                </c:pt>
                <c:pt idx="244">
                  <c:v>40589</c:v>
                </c:pt>
                <c:pt idx="245">
                  <c:v>40590</c:v>
                </c:pt>
                <c:pt idx="246">
                  <c:v>40591</c:v>
                </c:pt>
                <c:pt idx="247">
                  <c:v>40592</c:v>
                </c:pt>
                <c:pt idx="248">
                  <c:v>40595</c:v>
                </c:pt>
                <c:pt idx="249">
                  <c:v>40596</c:v>
                </c:pt>
              </c:numCache>
            </c:numRef>
          </c:cat>
          <c:val>
            <c:numRef>
              <c:f>prueba!$K$3:$K$252</c:f>
              <c:numCache>
                <c:formatCode>General</c:formatCode>
                <c:ptCount val="250"/>
                <c:pt idx="0">
                  <c:v>-3.2981933999999997E-2</c:v>
                </c:pt>
                <c:pt idx="1">
                  <c:v>-4.3526856000000003E-2</c:v>
                </c:pt>
                <c:pt idx="2">
                  <c:v>-2.0265320999999999E-2</c:v>
                </c:pt>
                <c:pt idx="3">
                  <c:v>2.2167026999999999E-2</c:v>
                </c:pt>
                <c:pt idx="4">
                  <c:v>2.9827052E-2</c:v>
                </c:pt>
                <c:pt idx="5">
                  <c:v>8.1772140000000004E-3</c:v>
                </c:pt>
                <c:pt idx="6">
                  <c:v>3.7990379999999998E-3</c:v>
                </c:pt>
                <c:pt idx="7">
                  <c:v>-8.7260900000000006E-3</c:v>
                </c:pt>
                <c:pt idx="8">
                  <c:v>2.2575537E-2</c:v>
                </c:pt>
                <c:pt idx="9">
                  <c:v>2.2410943999999999E-2</c:v>
                </c:pt>
                <c:pt idx="10">
                  <c:v>-1.2297361999999999E-2</c:v>
                </c:pt>
                <c:pt idx="11">
                  <c:v>-2.936129E-3</c:v>
                </c:pt>
                <c:pt idx="12">
                  <c:v>-5.5874719999999996E-3</c:v>
                </c:pt>
                <c:pt idx="13">
                  <c:v>3.5570049999999998E-3</c:v>
                </c:pt>
                <c:pt idx="14">
                  <c:v>-6.3373630000000004E-3</c:v>
                </c:pt>
                <c:pt idx="15">
                  <c:v>2.4778657999999999E-2</c:v>
                </c:pt>
                <c:pt idx="16">
                  <c:v>2.7046713999999999E-2</c:v>
                </c:pt>
                <c:pt idx="17">
                  <c:v>-1.8503617E-2</c:v>
                </c:pt>
                <c:pt idx="18">
                  <c:v>-7.7491770000000003E-3</c:v>
                </c:pt>
                <c:pt idx="19">
                  <c:v>-3.3317299999999998E-4</c:v>
                </c:pt>
                <c:pt idx="20">
                  <c:v>9.1997510000000008E-3</c:v>
                </c:pt>
                <c:pt idx="21">
                  <c:v>1.5642970999999999E-2</c:v>
                </c:pt>
                <c:pt idx="22">
                  <c:v>3.4281823000000003E-2</c:v>
                </c:pt>
                <c:pt idx="23">
                  <c:v>-2.5390999999999999E-3</c:v>
                </c:pt>
                <c:pt idx="24">
                  <c:v>2.9870510000000001E-3</c:v>
                </c:pt>
                <c:pt idx="25">
                  <c:v>2.8998959999999999E-3</c:v>
                </c:pt>
                <c:pt idx="26">
                  <c:v>9.2072599999999997E-6</c:v>
                </c:pt>
                <c:pt idx="27">
                  <c:v>2.3256492E-2</c:v>
                </c:pt>
                <c:pt idx="28">
                  <c:v>6.6703969999999998E-3</c:v>
                </c:pt>
                <c:pt idx="29">
                  <c:v>1.1553941E-2</c:v>
                </c:pt>
                <c:pt idx="30">
                  <c:v>-1.3568009999999999E-3</c:v>
                </c:pt>
                <c:pt idx="31">
                  <c:v>1.1301841E-2</c:v>
                </c:pt>
                <c:pt idx="32">
                  <c:v>-6.8009860000000002E-3</c:v>
                </c:pt>
                <c:pt idx="33">
                  <c:v>2.3087673E-2</c:v>
                </c:pt>
                <c:pt idx="34">
                  <c:v>-3.594491E-3</c:v>
                </c:pt>
                <c:pt idx="35">
                  <c:v>-1.6214159999999998E-2</c:v>
                </c:pt>
                <c:pt idx="36">
                  <c:v>2.8145888000000001E-2</c:v>
                </c:pt>
                <c:pt idx="37">
                  <c:v>-3.2906010000000002E-3</c:v>
                </c:pt>
                <c:pt idx="38">
                  <c:v>-1.1798022999999999E-2</c:v>
                </c:pt>
                <c:pt idx="39">
                  <c:v>-1.4212047E-2</c:v>
                </c:pt>
                <c:pt idx="40">
                  <c:v>1.6708117000000001E-2</c:v>
                </c:pt>
                <c:pt idx="41">
                  <c:v>-3.765961E-3</c:v>
                </c:pt>
                <c:pt idx="42">
                  <c:v>-1.1803199999999999E-3</c:v>
                </c:pt>
                <c:pt idx="43">
                  <c:v>1.5475997E-2</c:v>
                </c:pt>
                <c:pt idx="44">
                  <c:v>-1.7618884000000001E-2</c:v>
                </c:pt>
                <c:pt idx="45">
                  <c:v>-2.0578676000000001E-2</c:v>
                </c:pt>
                <c:pt idx="46">
                  <c:v>2.5293045E-2</c:v>
                </c:pt>
                <c:pt idx="47">
                  <c:v>8.7574430000000002E-3</c:v>
                </c:pt>
                <c:pt idx="48">
                  <c:v>-1.7841335E-2</c:v>
                </c:pt>
                <c:pt idx="49">
                  <c:v>-2.1593711000000002E-2</c:v>
                </c:pt>
                <c:pt idx="50">
                  <c:v>-2.80919E-2</c:v>
                </c:pt>
                <c:pt idx="51">
                  <c:v>-2.4921713000000002E-2</c:v>
                </c:pt>
                <c:pt idx="52">
                  <c:v>-7.6967444999999995E-2</c:v>
                </c:pt>
                <c:pt idx="53">
                  <c:v>0.100620694</c:v>
                </c:pt>
                <c:pt idx="54">
                  <c:v>-1.0619633999999999E-2</c:v>
                </c:pt>
                <c:pt idx="55">
                  <c:v>3.099938E-2</c:v>
                </c:pt>
                <c:pt idx="56">
                  <c:v>6.1901070000000002E-3</c:v>
                </c:pt>
                <c:pt idx="57">
                  <c:v>-4.6439623999999999E-2</c:v>
                </c:pt>
                <c:pt idx="58">
                  <c:v>-3.439788E-3</c:v>
                </c:pt>
                <c:pt idx="59">
                  <c:v>2.1205696999999999E-2</c:v>
                </c:pt>
                <c:pt idx="60">
                  <c:v>-7.3525699999999999E-2</c:v>
                </c:pt>
                <c:pt idx="61">
                  <c:v>-8.0728129999999999E-3</c:v>
                </c:pt>
                <c:pt idx="62">
                  <c:v>1.5165339999999999E-2</c:v>
                </c:pt>
                <c:pt idx="63">
                  <c:v>-5.7318925E-2</c:v>
                </c:pt>
                <c:pt idx="64">
                  <c:v>4.3782356000000001E-2</c:v>
                </c:pt>
                <c:pt idx="65">
                  <c:v>1.4993319E-2</c:v>
                </c:pt>
                <c:pt idx="66">
                  <c:v>1.9388862E-2</c:v>
                </c:pt>
                <c:pt idx="67">
                  <c:v>-2.5179175000000002E-2</c:v>
                </c:pt>
                <c:pt idx="68">
                  <c:v>-7.1334019999999996E-3</c:v>
                </c:pt>
                <c:pt idx="69">
                  <c:v>1.7966551000000001E-2</c:v>
                </c:pt>
                <c:pt idx="70">
                  <c:v>8.1771550000000002E-3</c:v>
                </c:pt>
                <c:pt idx="71">
                  <c:v>-2.1635353E-2</c:v>
                </c:pt>
                <c:pt idx="72">
                  <c:v>-1.5977304000000001E-2</c:v>
                </c:pt>
                <c:pt idx="73">
                  <c:v>-1.4532623999999999E-2</c:v>
                </c:pt>
                <c:pt idx="74">
                  <c:v>1.5006205999999999E-2</c:v>
                </c:pt>
                <c:pt idx="75">
                  <c:v>1.2652948000000001E-2</c:v>
                </c:pt>
                <c:pt idx="76">
                  <c:v>1.5163322999999999E-2</c:v>
                </c:pt>
                <c:pt idx="77">
                  <c:v>1.7462518999999999E-2</c:v>
                </c:pt>
                <c:pt idx="78">
                  <c:v>7.567692E-3</c:v>
                </c:pt>
                <c:pt idx="79">
                  <c:v>5.8783070000000002E-3</c:v>
                </c:pt>
                <c:pt idx="80">
                  <c:v>1.079917E-2</c:v>
                </c:pt>
                <c:pt idx="81">
                  <c:v>6.8365769999999999E-3</c:v>
                </c:pt>
                <c:pt idx="82">
                  <c:v>8.1935859999999992E-3</c:v>
                </c:pt>
                <c:pt idx="83">
                  <c:v>-1.1254900999999999E-2</c:v>
                </c:pt>
                <c:pt idx="84">
                  <c:v>-2.2131100000000001E-2</c:v>
                </c:pt>
                <c:pt idx="85">
                  <c:v>-8.0241830000000007E-3</c:v>
                </c:pt>
                <c:pt idx="86">
                  <c:v>-3.5908419999999999E-3</c:v>
                </c:pt>
                <c:pt idx="87">
                  <c:v>1.6951145000000001E-2</c:v>
                </c:pt>
                <c:pt idx="88">
                  <c:v>-2.8443062000000002E-2</c:v>
                </c:pt>
                <c:pt idx="89">
                  <c:v>-6.1949509999999998E-3</c:v>
                </c:pt>
                <c:pt idx="90">
                  <c:v>-7.6776190000000001E-3</c:v>
                </c:pt>
                <c:pt idx="91">
                  <c:v>2.6056593999999999E-2</c:v>
                </c:pt>
                <c:pt idx="92">
                  <c:v>7.3752330000000001E-3</c:v>
                </c:pt>
                <c:pt idx="93">
                  <c:v>2.2922606000000002E-2</c:v>
                </c:pt>
                <c:pt idx="94">
                  <c:v>-7.1371900000000003E-4</c:v>
                </c:pt>
                <c:pt idx="95">
                  <c:v>1.5335579E-2</c:v>
                </c:pt>
                <c:pt idx="96">
                  <c:v>-2.3665359999999998E-3</c:v>
                </c:pt>
                <c:pt idx="97">
                  <c:v>2.454421E-3</c:v>
                </c:pt>
                <c:pt idx="98">
                  <c:v>1.2557159E-2</c:v>
                </c:pt>
                <c:pt idx="99">
                  <c:v>9.6638430000000001E-3</c:v>
                </c:pt>
                <c:pt idx="100">
                  <c:v>-7.8020019999999997E-3</c:v>
                </c:pt>
                <c:pt idx="101">
                  <c:v>4.7438610000000003E-3</c:v>
                </c:pt>
                <c:pt idx="102">
                  <c:v>1.609521E-3</c:v>
                </c:pt>
                <c:pt idx="103">
                  <c:v>4.8897200000000002E-3</c:v>
                </c:pt>
                <c:pt idx="104">
                  <c:v>2.7040453999999998E-2</c:v>
                </c:pt>
                <c:pt idx="105">
                  <c:v>8.759167E-3</c:v>
                </c:pt>
                <c:pt idx="106">
                  <c:v>-6.5019730000000003E-3</c:v>
                </c:pt>
                <c:pt idx="107">
                  <c:v>2.976954E-3</c:v>
                </c:pt>
                <c:pt idx="108">
                  <c:v>1.8680978000000001E-2</c:v>
                </c:pt>
                <c:pt idx="109">
                  <c:v>2.580017E-3</c:v>
                </c:pt>
                <c:pt idx="110">
                  <c:v>5.4291909999999999E-3</c:v>
                </c:pt>
                <c:pt idx="111">
                  <c:v>-1.5301669E-2</c:v>
                </c:pt>
                <c:pt idx="112">
                  <c:v>2.2125061000000001E-2</c:v>
                </c:pt>
                <c:pt idx="113">
                  <c:v>-6.4154770000000002E-3</c:v>
                </c:pt>
                <c:pt idx="114">
                  <c:v>-8.0658840000000006E-3</c:v>
                </c:pt>
                <c:pt idx="115">
                  <c:v>-5.9189819999999997E-3</c:v>
                </c:pt>
                <c:pt idx="116">
                  <c:v>5.730527E-3</c:v>
                </c:pt>
                <c:pt idx="117">
                  <c:v>8.2076070000000004E-3</c:v>
                </c:pt>
                <c:pt idx="118">
                  <c:v>-1.7887816000000001E-2</c:v>
                </c:pt>
                <c:pt idx="119">
                  <c:v>-2.5658664000000001E-2</c:v>
                </c:pt>
                <c:pt idx="120">
                  <c:v>-3.832495E-3</c:v>
                </c:pt>
                <c:pt idx="121">
                  <c:v>6.9472309999999999E-3</c:v>
                </c:pt>
                <c:pt idx="122">
                  <c:v>6.5785360000000003E-3</c:v>
                </c:pt>
                <c:pt idx="123">
                  <c:v>2.0238128000000001E-2</c:v>
                </c:pt>
                <c:pt idx="124">
                  <c:v>-3.2736199999999999E-4</c:v>
                </c:pt>
                <c:pt idx="125">
                  <c:v>-1.2118576000000001E-2</c:v>
                </c:pt>
                <c:pt idx="126">
                  <c:v>-9.9611449999999994E-3</c:v>
                </c:pt>
                <c:pt idx="127">
                  <c:v>-3.9646400000000002E-4</c:v>
                </c:pt>
                <c:pt idx="128">
                  <c:v>-1.3976189E-2</c:v>
                </c:pt>
                <c:pt idx="129">
                  <c:v>-2.2902550000000002E-3</c:v>
                </c:pt>
                <c:pt idx="130">
                  <c:v>1.5274596999999999E-2</c:v>
                </c:pt>
                <c:pt idx="131">
                  <c:v>5.8530750000000001E-3</c:v>
                </c:pt>
                <c:pt idx="132">
                  <c:v>6.8124229999999997E-3</c:v>
                </c:pt>
                <c:pt idx="133">
                  <c:v>1.5375877E-2</c:v>
                </c:pt>
                <c:pt idx="134">
                  <c:v>9.6579519999999992E-3</c:v>
                </c:pt>
                <c:pt idx="135">
                  <c:v>6.1142590000000004E-3</c:v>
                </c:pt>
                <c:pt idx="136">
                  <c:v>5.5482960000000003E-3</c:v>
                </c:pt>
                <c:pt idx="137">
                  <c:v>-1.2223346E-2</c:v>
                </c:pt>
                <c:pt idx="138">
                  <c:v>-2.284646E-3</c:v>
                </c:pt>
                <c:pt idx="139">
                  <c:v>3.6792574000000001E-2</c:v>
                </c:pt>
                <c:pt idx="140">
                  <c:v>9.56115E-4</c:v>
                </c:pt>
                <c:pt idx="141">
                  <c:v>1.8699349000000001E-2</c:v>
                </c:pt>
                <c:pt idx="142">
                  <c:v>6.2122219999999999E-3</c:v>
                </c:pt>
                <c:pt idx="143">
                  <c:v>-6.6432399999999999E-4</c:v>
                </c:pt>
                <c:pt idx="144">
                  <c:v>6.6035809999999999E-3</c:v>
                </c:pt>
                <c:pt idx="145">
                  <c:v>3.2605500000000001E-4</c:v>
                </c:pt>
                <c:pt idx="146">
                  <c:v>1.0378034E-2</c:v>
                </c:pt>
                <c:pt idx="147">
                  <c:v>-6.8895400000000004E-3</c:v>
                </c:pt>
                <c:pt idx="148">
                  <c:v>2.3149669999999998E-3</c:v>
                </c:pt>
                <c:pt idx="149">
                  <c:v>1.2779852E-2</c:v>
                </c:pt>
                <c:pt idx="150">
                  <c:v>1.5942484E-2</c:v>
                </c:pt>
                <c:pt idx="151">
                  <c:v>1.0183485000000001E-2</c:v>
                </c:pt>
                <c:pt idx="152">
                  <c:v>8.7890529999999998E-3</c:v>
                </c:pt>
                <c:pt idx="153">
                  <c:v>-1.0596542E-2</c:v>
                </c:pt>
                <c:pt idx="154">
                  <c:v>8.2422060000000002E-3</c:v>
                </c:pt>
                <c:pt idx="155">
                  <c:v>1.1309614000000001E-2</c:v>
                </c:pt>
                <c:pt idx="156">
                  <c:v>2.7594180999999999E-2</c:v>
                </c:pt>
                <c:pt idx="157">
                  <c:v>8.8612900000000004E-4</c:v>
                </c:pt>
                <c:pt idx="158">
                  <c:v>1.96004E-4</c:v>
                </c:pt>
                <c:pt idx="159">
                  <c:v>3.7795035999999997E-2</c:v>
                </c:pt>
                <c:pt idx="160">
                  <c:v>3.7386800000000002E-4</c:v>
                </c:pt>
                <c:pt idx="161">
                  <c:v>1.5684163000000001E-2</c:v>
                </c:pt>
                <c:pt idx="162">
                  <c:v>-4.1285209999999996E-3</c:v>
                </c:pt>
                <c:pt idx="163">
                  <c:v>7.6884950000000001E-3</c:v>
                </c:pt>
                <c:pt idx="164">
                  <c:v>-8.1409800000000008E-3</c:v>
                </c:pt>
                <c:pt idx="165">
                  <c:v>-7.6958809999999999E-3</c:v>
                </c:pt>
                <c:pt idx="166">
                  <c:v>-1.1326734999999999E-2</c:v>
                </c:pt>
                <c:pt idx="167">
                  <c:v>2.2096172000000001E-2</c:v>
                </c:pt>
                <c:pt idx="168">
                  <c:v>1.7962900000000001E-3</c:v>
                </c:pt>
                <c:pt idx="169">
                  <c:v>8.5209750000000001E-3</c:v>
                </c:pt>
                <c:pt idx="170">
                  <c:v>-6.4019259999999996E-3</c:v>
                </c:pt>
                <c:pt idx="171">
                  <c:v>-4.2735495999999998E-2</c:v>
                </c:pt>
                <c:pt idx="172">
                  <c:v>1.4432573000000001E-2</c:v>
                </c:pt>
                <c:pt idx="173">
                  <c:v>-1.306691E-3</c:v>
                </c:pt>
                <c:pt idx="174">
                  <c:v>7.0394430000000003E-3</c:v>
                </c:pt>
                <c:pt idx="175">
                  <c:v>4.2670291999999999E-2</c:v>
                </c:pt>
                <c:pt idx="176">
                  <c:v>-4.3741179999999998E-3</c:v>
                </c:pt>
                <c:pt idx="177">
                  <c:v>-5.7341299999999996E-3</c:v>
                </c:pt>
                <c:pt idx="178">
                  <c:v>8.5232399999999996E-3</c:v>
                </c:pt>
                <c:pt idx="179">
                  <c:v>-1.6602556000000001E-2</c:v>
                </c:pt>
                <c:pt idx="180">
                  <c:v>-1.1877057999999999E-2</c:v>
                </c:pt>
                <c:pt idx="181">
                  <c:v>-1.7336606000000001E-2</c:v>
                </c:pt>
                <c:pt idx="182">
                  <c:v>6.3788610000000004E-3</c:v>
                </c:pt>
                <c:pt idx="183">
                  <c:v>-3.5632732E-2</c:v>
                </c:pt>
                <c:pt idx="184">
                  <c:v>-3.7541092999999998E-2</c:v>
                </c:pt>
                <c:pt idx="185">
                  <c:v>-4.48648E-4</c:v>
                </c:pt>
                <c:pt idx="186">
                  <c:v>3.5347099999999999E-3</c:v>
                </c:pt>
                <c:pt idx="187">
                  <c:v>-2.3631065E-2</c:v>
                </c:pt>
                <c:pt idx="188">
                  <c:v>-3.4779442000000001E-2</c:v>
                </c:pt>
                <c:pt idx="189">
                  <c:v>1.117932E-2</c:v>
                </c:pt>
                <c:pt idx="190">
                  <c:v>1.9146303999999999E-2</c:v>
                </c:pt>
                <c:pt idx="191">
                  <c:v>1.6953000999999999E-2</c:v>
                </c:pt>
                <c:pt idx="192">
                  <c:v>4.1029040000000001E-3</c:v>
                </c:pt>
                <c:pt idx="193">
                  <c:v>1.0356506E-2</c:v>
                </c:pt>
                <c:pt idx="194">
                  <c:v>8.157404E-3</c:v>
                </c:pt>
                <c:pt idx="195">
                  <c:v>-1.2462407999999999E-2</c:v>
                </c:pt>
                <c:pt idx="196">
                  <c:v>-3.1852930000000002E-2</c:v>
                </c:pt>
                <c:pt idx="197">
                  <c:v>-2.0089706999999998E-2</c:v>
                </c:pt>
                <c:pt idx="198">
                  <c:v>2.2188263E-2</c:v>
                </c:pt>
                <c:pt idx="199">
                  <c:v>4.6893179999999996E-3</c:v>
                </c:pt>
                <c:pt idx="200">
                  <c:v>-2.6703272E-2</c:v>
                </c:pt>
                <c:pt idx="201">
                  <c:v>-1.9641181000000001E-2</c:v>
                </c:pt>
                <c:pt idx="202">
                  <c:v>-1.6985296E-2</c:v>
                </c:pt>
                <c:pt idx="203">
                  <c:v>-1.7391671000000001E-2</c:v>
                </c:pt>
                <c:pt idx="204">
                  <c:v>1.8217236000000001E-2</c:v>
                </c:pt>
                <c:pt idx="205">
                  <c:v>1.2176661E-2</c:v>
                </c:pt>
                <c:pt idx="206">
                  <c:v>1.2478901000000001E-2</c:v>
                </c:pt>
                <c:pt idx="207">
                  <c:v>4.2329669999999998E-3</c:v>
                </c:pt>
                <c:pt idx="208">
                  <c:v>6.3400000000000001E-4</c:v>
                </c:pt>
                <c:pt idx="209">
                  <c:v>4.3838200000000002E-4</c:v>
                </c:pt>
                <c:pt idx="210">
                  <c:v>-5.5817740000000003E-3</c:v>
                </c:pt>
                <c:pt idx="211">
                  <c:v>8.4384979999999991E-3</c:v>
                </c:pt>
                <c:pt idx="212">
                  <c:v>-6.861097E-3</c:v>
                </c:pt>
                <c:pt idx="213">
                  <c:v>1.7515472000000001E-2</c:v>
                </c:pt>
                <c:pt idx="214">
                  <c:v>1.1047589999999999E-2</c:v>
                </c:pt>
                <c:pt idx="215">
                  <c:v>1.1780211000000001E-2</c:v>
                </c:pt>
                <c:pt idx="216">
                  <c:v>6.8502199999999997E-3</c:v>
                </c:pt>
                <c:pt idx="217">
                  <c:v>-1.8754847000000002E-2</c:v>
                </c:pt>
                <c:pt idx="218">
                  <c:v>-2.6324670000000001E-2</c:v>
                </c:pt>
                <c:pt idx="219">
                  <c:v>1.7947670000000001E-3</c:v>
                </c:pt>
                <c:pt idx="220">
                  <c:v>9.0640510000000001E-3</c:v>
                </c:pt>
                <c:pt idx="221">
                  <c:v>1.6297587999999998E-2</c:v>
                </c:pt>
                <c:pt idx="222">
                  <c:v>-4.7002279999999999E-3</c:v>
                </c:pt>
                <c:pt idx="223">
                  <c:v>-1.5367702E-2</c:v>
                </c:pt>
                <c:pt idx="224">
                  <c:v>4.5795269999999999E-3</c:v>
                </c:pt>
                <c:pt idx="225">
                  <c:v>-3.2090069999999998E-3</c:v>
                </c:pt>
                <c:pt idx="226">
                  <c:v>-3.1651659999999998E-2</c:v>
                </c:pt>
                <c:pt idx="227">
                  <c:v>-5.1083300000000003E-4</c:v>
                </c:pt>
                <c:pt idx="228">
                  <c:v>-7.4262540000000002E-3</c:v>
                </c:pt>
                <c:pt idx="229">
                  <c:v>4.6386450000000003E-3</c:v>
                </c:pt>
                <c:pt idx="230">
                  <c:v>5.404402E-3</c:v>
                </c:pt>
                <c:pt idx="231">
                  <c:v>-1.4976415E-2</c:v>
                </c:pt>
                <c:pt idx="232">
                  <c:v>-3.8598965999999998E-2</c:v>
                </c:pt>
                <c:pt idx="233">
                  <c:v>-8.8830330000000002E-3</c:v>
                </c:pt>
                <c:pt idx="234">
                  <c:v>3.5256817000000003E-2</c:v>
                </c:pt>
                <c:pt idx="235">
                  <c:v>1.4238624E-2</c:v>
                </c:pt>
                <c:pt idx="236">
                  <c:v>-2.7850188000000001E-2</c:v>
                </c:pt>
                <c:pt idx="237">
                  <c:v>1.3959226999999999E-2</c:v>
                </c:pt>
                <c:pt idx="238">
                  <c:v>8.5528879999999998E-3</c:v>
                </c:pt>
                <c:pt idx="239">
                  <c:v>6.8857060000000001E-3</c:v>
                </c:pt>
                <c:pt idx="240">
                  <c:v>-3.25487E-3</c:v>
                </c:pt>
                <c:pt idx="241">
                  <c:v>-2.4920602E-2</c:v>
                </c:pt>
                <c:pt idx="242">
                  <c:v>6.4182199999999997E-3</c:v>
                </c:pt>
                <c:pt idx="243">
                  <c:v>4.0451400000000002E-4</c:v>
                </c:pt>
                <c:pt idx="244">
                  <c:v>8.9272199999999998E-4</c:v>
                </c:pt>
                <c:pt idx="245">
                  <c:v>1.3399898E-2</c:v>
                </c:pt>
                <c:pt idx="246">
                  <c:v>1.5977202999999999E-2</c:v>
                </c:pt>
                <c:pt idx="247">
                  <c:v>-1.652602E-3</c:v>
                </c:pt>
                <c:pt idx="248">
                  <c:v>-1.3705988000000001E-2</c:v>
                </c:pt>
                <c:pt idx="249">
                  <c:v>-1.944185E-2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prueba!$N$2</c:f>
              <c:strCache>
                <c:ptCount val="1"/>
                <c:pt idx="0">
                  <c:v>lasso</c:v>
                </c:pt>
              </c:strCache>
            </c:strRef>
          </c:tx>
          <c:marker>
            <c:symbol val="none"/>
          </c:marker>
          <c:cat>
            <c:numRef>
              <c:f>prueba!$A$3:$A$252</c:f>
              <c:numCache>
                <c:formatCode>[$-409]d\-mmm\-yy;@</c:formatCode>
                <c:ptCount val="250"/>
                <c:pt idx="0">
                  <c:v>40232</c:v>
                </c:pt>
                <c:pt idx="1">
                  <c:v>40233</c:v>
                </c:pt>
                <c:pt idx="2">
                  <c:v>40234</c:v>
                </c:pt>
                <c:pt idx="3">
                  <c:v>40235</c:v>
                </c:pt>
                <c:pt idx="4">
                  <c:v>40238</c:v>
                </c:pt>
                <c:pt idx="5">
                  <c:v>40239</c:v>
                </c:pt>
                <c:pt idx="6">
                  <c:v>40240</c:v>
                </c:pt>
                <c:pt idx="7">
                  <c:v>40241</c:v>
                </c:pt>
                <c:pt idx="8">
                  <c:v>40242</c:v>
                </c:pt>
                <c:pt idx="9">
                  <c:v>40245</c:v>
                </c:pt>
                <c:pt idx="10">
                  <c:v>40246</c:v>
                </c:pt>
                <c:pt idx="11">
                  <c:v>40247</c:v>
                </c:pt>
                <c:pt idx="12">
                  <c:v>40248</c:v>
                </c:pt>
                <c:pt idx="13">
                  <c:v>40249</c:v>
                </c:pt>
                <c:pt idx="14">
                  <c:v>40252</c:v>
                </c:pt>
                <c:pt idx="15">
                  <c:v>40253</c:v>
                </c:pt>
                <c:pt idx="16">
                  <c:v>40254</c:v>
                </c:pt>
                <c:pt idx="17">
                  <c:v>40255</c:v>
                </c:pt>
                <c:pt idx="18">
                  <c:v>40256</c:v>
                </c:pt>
                <c:pt idx="19">
                  <c:v>40259</c:v>
                </c:pt>
                <c:pt idx="20">
                  <c:v>40260</c:v>
                </c:pt>
                <c:pt idx="21">
                  <c:v>40261</c:v>
                </c:pt>
                <c:pt idx="22">
                  <c:v>40262</c:v>
                </c:pt>
                <c:pt idx="23">
                  <c:v>40263</c:v>
                </c:pt>
                <c:pt idx="24">
                  <c:v>40266</c:v>
                </c:pt>
                <c:pt idx="25">
                  <c:v>40267</c:v>
                </c:pt>
                <c:pt idx="26">
                  <c:v>40268</c:v>
                </c:pt>
                <c:pt idx="27">
                  <c:v>40269</c:v>
                </c:pt>
                <c:pt idx="28">
                  <c:v>40270</c:v>
                </c:pt>
                <c:pt idx="29">
                  <c:v>40273</c:v>
                </c:pt>
                <c:pt idx="30">
                  <c:v>40274</c:v>
                </c:pt>
                <c:pt idx="31">
                  <c:v>40275</c:v>
                </c:pt>
                <c:pt idx="32">
                  <c:v>40276</c:v>
                </c:pt>
                <c:pt idx="33">
                  <c:v>40277</c:v>
                </c:pt>
                <c:pt idx="34">
                  <c:v>40280</c:v>
                </c:pt>
                <c:pt idx="35">
                  <c:v>40281</c:v>
                </c:pt>
                <c:pt idx="36">
                  <c:v>40282</c:v>
                </c:pt>
                <c:pt idx="37">
                  <c:v>40283</c:v>
                </c:pt>
                <c:pt idx="38">
                  <c:v>40284</c:v>
                </c:pt>
                <c:pt idx="39">
                  <c:v>40287</c:v>
                </c:pt>
                <c:pt idx="40">
                  <c:v>40288</c:v>
                </c:pt>
                <c:pt idx="41">
                  <c:v>40289</c:v>
                </c:pt>
                <c:pt idx="42">
                  <c:v>40290</c:v>
                </c:pt>
                <c:pt idx="43">
                  <c:v>40294</c:v>
                </c:pt>
                <c:pt idx="44">
                  <c:v>40295</c:v>
                </c:pt>
                <c:pt idx="45">
                  <c:v>40296</c:v>
                </c:pt>
                <c:pt idx="46">
                  <c:v>40297</c:v>
                </c:pt>
                <c:pt idx="47">
                  <c:v>40298</c:v>
                </c:pt>
                <c:pt idx="48">
                  <c:v>40301</c:v>
                </c:pt>
                <c:pt idx="49">
                  <c:v>40302</c:v>
                </c:pt>
                <c:pt idx="50">
                  <c:v>40303</c:v>
                </c:pt>
                <c:pt idx="51">
                  <c:v>40304</c:v>
                </c:pt>
                <c:pt idx="52">
                  <c:v>40305</c:v>
                </c:pt>
                <c:pt idx="53">
                  <c:v>40308</c:v>
                </c:pt>
                <c:pt idx="54">
                  <c:v>40309</c:v>
                </c:pt>
                <c:pt idx="55">
                  <c:v>40310</c:v>
                </c:pt>
                <c:pt idx="56">
                  <c:v>40311</c:v>
                </c:pt>
                <c:pt idx="57">
                  <c:v>40312</c:v>
                </c:pt>
                <c:pt idx="58">
                  <c:v>40315</c:v>
                </c:pt>
                <c:pt idx="59">
                  <c:v>40316</c:v>
                </c:pt>
                <c:pt idx="60">
                  <c:v>40318</c:v>
                </c:pt>
                <c:pt idx="61">
                  <c:v>40319</c:v>
                </c:pt>
                <c:pt idx="62">
                  <c:v>40322</c:v>
                </c:pt>
                <c:pt idx="63">
                  <c:v>40323</c:v>
                </c:pt>
                <c:pt idx="64">
                  <c:v>40324</c:v>
                </c:pt>
                <c:pt idx="65">
                  <c:v>40325</c:v>
                </c:pt>
                <c:pt idx="66">
                  <c:v>40326</c:v>
                </c:pt>
                <c:pt idx="67">
                  <c:v>40329</c:v>
                </c:pt>
                <c:pt idx="68">
                  <c:v>40330</c:v>
                </c:pt>
                <c:pt idx="69">
                  <c:v>40331</c:v>
                </c:pt>
                <c:pt idx="70">
                  <c:v>40332</c:v>
                </c:pt>
                <c:pt idx="71">
                  <c:v>40333</c:v>
                </c:pt>
                <c:pt idx="72">
                  <c:v>40336</c:v>
                </c:pt>
                <c:pt idx="73">
                  <c:v>40337</c:v>
                </c:pt>
                <c:pt idx="74">
                  <c:v>40338</c:v>
                </c:pt>
                <c:pt idx="75">
                  <c:v>40339</c:v>
                </c:pt>
                <c:pt idx="76">
                  <c:v>40340</c:v>
                </c:pt>
                <c:pt idx="77">
                  <c:v>40343</c:v>
                </c:pt>
                <c:pt idx="78">
                  <c:v>40344</c:v>
                </c:pt>
                <c:pt idx="79">
                  <c:v>40345</c:v>
                </c:pt>
                <c:pt idx="80">
                  <c:v>40346</c:v>
                </c:pt>
                <c:pt idx="81">
                  <c:v>40347</c:v>
                </c:pt>
                <c:pt idx="82">
                  <c:v>40350</c:v>
                </c:pt>
                <c:pt idx="83">
                  <c:v>40351</c:v>
                </c:pt>
                <c:pt idx="84">
                  <c:v>40352</c:v>
                </c:pt>
                <c:pt idx="85">
                  <c:v>40353</c:v>
                </c:pt>
                <c:pt idx="86">
                  <c:v>40354</c:v>
                </c:pt>
                <c:pt idx="87">
                  <c:v>40357</c:v>
                </c:pt>
                <c:pt idx="88">
                  <c:v>40358</c:v>
                </c:pt>
                <c:pt idx="89">
                  <c:v>40359</c:v>
                </c:pt>
                <c:pt idx="90">
                  <c:v>40360</c:v>
                </c:pt>
                <c:pt idx="91">
                  <c:v>40361</c:v>
                </c:pt>
                <c:pt idx="92">
                  <c:v>40364</c:v>
                </c:pt>
                <c:pt idx="93">
                  <c:v>40365</c:v>
                </c:pt>
                <c:pt idx="94">
                  <c:v>40366</c:v>
                </c:pt>
                <c:pt idx="95">
                  <c:v>40367</c:v>
                </c:pt>
                <c:pt idx="96">
                  <c:v>40368</c:v>
                </c:pt>
                <c:pt idx="97">
                  <c:v>40371</c:v>
                </c:pt>
                <c:pt idx="98">
                  <c:v>40372</c:v>
                </c:pt>
                <c:pt idx="99">
                  <c:v>40373</c:v>
                </c:pt>
                <c:pt idx="100">
                  <c:v>40374</c:v>
                </c:pt>
                <c:pt idx="101">
                  <c:v>40375</c:v>
                </c:pt>
                <c:pt idx="102">
                  <c:v>40378</c:v>
                </c:pt>
                <c:pt idx="103">
                  <c:v>40379</c:v>
                </c:pt>
                <c:pt idx="104">
                  <c:v>40380</c:v>
                </c:pt>
                <c:pt idx="105">
                  <c:v>40381</c:v>
                </c:pt>
                <c:pt idx="106">
                  <c:v>40382</c:v>
                </c:pt>
                <c:pt idx="107">
                  <c:v>40385</c:v>
                </c:pt>
                <c:pt idx="108">
                  <c:v>40386</c:v>
                </c:pt>
                <c:pt idx="109">
                  <c:v>40387</c:v>
                </c:pt>
                <c:pt idx="110">
                  <c:v>40388</c:v>
                </c:pt>
                <c:pt idx="111">
                  <c:v>40389</c:v>
                </c:pt>
                <c:pt idx="112">
                  <c:v>40392</c:v>
                </c:pt>
                <c:pt idx="113">
                  <c:v>40393</c:v>
                </c:pt>
                <c:pt idx="114">
                  <c:v>40394</c:v>
                </c:pt>
                <c:pt idx="115">
                  <c:v>40395</c:v>
                </c:pt>
                <c:pt idx="116">
                  <c:v>40396</c:v>
                </c:pt>
                <c:pt idx="117">
                  <c:v>40399</c:v>
                </c:pt>
                <c:pt idx="118">
                  <c:v>40400</c:v>
                </c:pt>
                <c:pt idx="119">
                  <c:v>40401</c:v>
                </c:pt>
                <c:pt idx="120">
                  <c:v>40402</c:v>
                </c:pt>
                <c:pt idx="121">
                  <c:v>40403</c:v>
                </c:pt>
                <c:pt idx="122">
                  <c:v>40406</c:v>
                </c:pt>
                <c:pt idx="123">
                  <c:v>40407</c:v>
                </c:pt>
                <c:pt idx="124">
                  <c:v>40408</c:v>
                </c:pt>
                <c:pt idx="125">
                  <c:v>40409</c:v>
                </c:pt>
                <c:pt idx="126">
                  <c:v>40410</c:v>
                </c:pt>
                <c:pt idx="127">
                  <c:v>40413</c:v>
                </c:pt>
                <c:pt idx="128">
                  <c:v>40414</c:v>
                </c:pt>
                <c:pt idx="129">
                  <c:v>40415</c:v>
                </c:pt>
                <c:pt idx="130">
                  <c:v>40416</c:v>
                </c:pt>
                <c:pt idx="131">
                  <c:v>40417</c:v>
                </c:pt>
                <c:pt idx="132">
                  <c:v>40421</c:v>
                </c:pt>
                <c:pt idx="133">
                  <c:v>40422</c:v>
                </c:pt>
                <c:pt idx="134">
                  <c:v>40423</c:v>
                </c:pt>
                <c:pt idx="135">
                  <c:v>40424</c:v>
                </c:pt>
                <c:pt idx="136">
                  <c:v>40427</c:v>
                </c:pt>
                <c:pt idx="137">
                  <c:v>40428</c:v>
                </c:pt>
                <c:pt idx="138">
                  <c:v>40429</c:v>
                </c:pt>
                <c:pt idx="139">
                  <c:v>40434</c:v>
                </c:pt>
                <c:pt idx="140">
                  <c:v>40435</c:v>
                </c:pt>
                <c:pt idx="141">
                  <c:v>40436</c:v>
                </c:pt>
                <c:pt idx="142">
                  <c:v>40437</c:v>
                </c:pt>
                <c:pt idx="143">
                  <c:v>40438</c:v>
                </c:pt>
                <c:pt idx="144">
                  <c:v>40441</c:v>
                </c:pt>
                <c:pt idx="145">
                  <c:v>40442</c:v>
                </c:pt>
                <c:pt idx="146">
                  <c:v>40443</c:v>
                </c:pt>
                <c:pt idx="147">
                  <c:v>40444</c:v>
                </c:pt>
                <c:pt idx="148">
                  <c:v>40445</c:v>
                </c:pt>
                <c:pt idx="149">
                  <c:v>40448</c:v>
                </c:pt>
                <c:pt idx="150">
                  <c:v>40449</c:v>
                </c:pt>
                <c:pt idx="151">
                  <c:v>40450</c:v>
                </c:pt>
                <c:pt idx="152">
                  <c:v>40451</c:v>
                </c:pt>
                <c:pt idx="153">
                  <c:v>40452</c:v>
                </c:pt>
                <c:pt idx="154">
                  <c:v>40455</c:v>
                </c:pt>
                <c:pt idx="155">
                  <c:v>40456</c:v>
                </c:pt>
                <c:pt idx="156">
                  <c:v>40457</c:v>
                </c:pt>
                <c:pt idx="157">
                  <c:v>40458</c:v>
                </c:pt>
                <c:pt idx="158">
                  <c:v>40459</c:v>
                </c:pt>
                <c:pt idx="159">
                  <c:v>40462</c:v>
                </c:pt>
                <c:pt idx="160">
                  <c:v>40463</c:v>
                </c:pt>
                <c:pt idx="161">
                  <c:v>40464</c:v>
                </c:pt>
                <c:pt idx="162">
                  <c:v>40465</c:v>
                </c:pt>
                <c:pt idx="163">
                  <c:v>40466</c:v>
                </c:pt>
                <c:pt idx="164">
                  <c:v>40469</c:v>
                </c:pt>
                <c:pt idx="165">
                  <c:v>40470</c:v>
                </c:pt>
                <c:pt idx="166">
                  <c:v>40471</c:v>
                </c:pt>
                <c:pt idx="167">
                  <c:v>40472</c:v>
                </c:pt>
                <c:pt idx="168">
                  <c:v>40473</c:v>
                </c:pt>
                <c:pt idx="169">
                  <c:v>40476</c:v>
                </c:pt>
                <c:pt idx="170">
                  <c:v>40477</c:v>
                </c:pt>
                <c:pt idx="171">
                  <c:v>40478</c:v>
                </c:pt>
                <c:pt idx="172">
                  <c:v>40483</c:v>
                </c:pt>
                <c:pt idx="173">
                  <c:v>40484</c:v>
                </c:pt>
                <c:pt idx="174">
                  <c:v>40485</c:v>
                </c:pt>
                <c:pt idx="175">
                  <c:v>40486</c:v>
                </c:pt>
                <c:pt idx="176">
                  <c:v>40487</c:v>
                </c:pt>
                <c:pt idx="177">
                  <c:v>40490</c:v>
                </c:pt>
                <c:pt idx="178">
                  <c:v>40491</c:v>
                </c:pt>
                <c:pt idx="179">
                  <c:v>40492</c:v>
                </c:pt>
                <c:pt idx="180">
                  <c:v>40493</c:v>
                </c:pt>
                <c:pt idx="181">
                  <c:v>40494</c:v>
                </c:pt>
                <c:pt idx="182">
                  <c:v>40497</c:v>
                </c:pt>
                <c:pt idx="183">
                  <c:v>40504</c:v>
                </c:pt>
                <c:pt idx="184">
                  <c:v>40505</c:v>
                </c:pt>
                <c:pt idx="185">
                  <c:v>40506</c:v>
                </c:pt>
                <c:pt idx="186">
                  <c:v>40507</c:v>
                </c:pt>
                <c:pt idx="187">
                  <c:v>40508</c:v>
                </c:pt>
                <c:pt idx="188">
                  <c:v>40511</c:v>
                </c:pt>
                <c:pt idx="189">
                  <c:v>40512</c:v>
                </c:pt>
                <c:pt idx="190">
                  <c:v>40513</c:v>
                </c:pt>
                <c:pt idx="191">
                  <c:v>40514</c:v>
                </c:pt>
                <c:pt idx="192">
                  <c:v>40515</c:v>
                </c:pt>
                <c:pt idx="193">
                  <c:v>40518</c:v>
                </c:pt>
                <c:pt idx="194">
                  <c:v>40519</c:v>
                </c:pt>
                <c:pt idx="195">
                  <c:v>40520</c:v>
                </c:pt>
                <c:pt idx="196">
                  <c:v>40521</c:v>
                </c:pt>
                <c:pt idx="197">
                  <c:v>40522</c:v>
                </c:pt>
                <c:pt idx="198">
                  <c:v>40525</c:v>
                </c:pt>
                <c:pt idx="199">
                  <c:v>40526</c:v>
                </c:pt>
                <c:pt idx="200">
                  <c:v>40527</c:v>
                </c:pt>
                <c:pt idx="201">
                  <c:v>40528</c:v>
                </c:pt>
                <c:pt idx="202">
                  <c:v>40529</c:v>
                </c:pt>
                <c:pt idx="203">
                  <c:v>40532</c:v>
                </c:pt>
                <c:pt idx="204">
                  <c:v>40533</c:v>
                </c:pt>
                <c:pt idx="205">
                  <c:v>40534</c:v>
                </c:pt>
                <c:pt idx="206">
                  <c:v>40535</c:v>
                </c:pt>
                <c:pt idx="207">
                  <c:v>40536</c:v>
                </c:pt>
                <c:pt idx="208">
                  <c:v>40539</c:v>
                </c:pt>
                <c:pt idx="209">
                  <c:v>40540</c:v>
                </c:pt>
                <c:pt idx="210">
                  <c:v>40541</c:v>
                </c:pt>
                <c:pt idx="211">
                  <c:v>40542</c:v>
                </c:pt>
                <c:pt idx="212">
                  <c:v>40543</c:v>
                </c:pt>
                <c:pt idx="213">
                  <c:v>40546</c:v>
                </c:pt>
                <c:pt idx="214">
                  <c:v>40547</c:v>
                </c:pt>
                <c:pt idx="215">
                  <c:v>40548</c:v>
                </c:pt>
                <c:pt idx="216">
                  <c:v>40549</c:v>
                </c:pt>
                <c:pt idx="217">
                  <c:v>40550</c:v>
                </c:pt>
                <c:pt idx="218">
                  <c:v>40553</c:v>
                </c:pt>
                <c:pt idx="219">
                  <c:v>40554</c:v>
                </c:pt>
                <c:pt idx="220">
                  <c:v>40555</c:v>
                </c:pt>
                <c:pt idx="221">
                  <c:v>40556</c:v>
                </c:pt>
                <c:pt idx="222">
                  <c:v>40557</c:v>
                </c:pt>
                <c:pt idx="223">
                  <c:v>40560</c:v>
                </c:pt>
                <c:pt idx="224">
                  <c:v>40561</c:v>
                </c:pt>
                <c:pt idx="225">
                  <c:v>40562</c:v>
                </c:pt>
                <c:pt idx="226">
                  <c:v>40563</c:v>
                </c:pt>
                <c:pt idx="227">
                  <c:v>40564</c:v>
                </c:pt>
                <c:pt idx="228">
                  <c:v>40567</c:v>
                </c:pt>
                <c:pt idx="229">
                  <c:v>40568</c:v>
                </c:pt>
                <c:pt idx="230">
                  <c:v>40569</c:v>
                </c:pt>
                <c:pt idx="231">
                  <c:v>40570</c:v>
                </c:pt>
                <c:pt idx="232">
                  <c:v>40571</c:v>
                </c:pt>
                <c:pt idx="233">
                  <c:v>40574</c:v>
                </c:pt>
                <c:pt idx="234">
                  <c:v>40575</c:v>
                </c:pt>
                <c:pt idx="235">
                  <c:v>40576</c:v>
                </c:pt>
                <c:pt idx="236">
                  <c:v>40577</c:v>
                </c:pt>
                <c:pt idx="237">
                  <c:v>40578</c:v>
                </c:pt>
                <c:pt idx="238">
                  <c:v>40581</c:v>
                </c:pt>
                <c:pt idx="239">
                  <c:v>40582</c:v>
                </c:pt>
                <c:pt idx="240">
                  <c:v>40583</c:v>
                </c:pt>
                <c:pt idx="241">
                  <c:v>40584</c:v>
                </c:pt>
                <c:pt idx="242">
                  <c:v>40585</c:v>
                </c:pt>
                <c:pt idx="243">
                  <c:v>40588</c:v>
                </c:pt>
                <c:pt idx="244">
                  <c:v>40589</c:v>
                </c:pt>
                <c:pt idx="245">
                  <c:v>40590</c:v>
                </c:pt>
                <c:pt idx="246">
                  <c:v>40591</c:v>
                </c:pt>
                <c:pt idx="247">
                  <c:v>40592</c:v>
                </c:pt>
                <c:pt idx="248">
                  <c:v>40595</c:v>
                </c:pt>
                <c:pt idx="249">
                  <c:v>40596</c:v>
                </c:pt>
              </c:numCache>
            </c:numRef>
          </c:cat>
          <c:val>
            <c:numRef>
              <c:f>prueba!$N$3:$N$252</c:f>
              <c:numCache>
                <c:formatCode>General</c:formatCode>
                <c:ptCount val="250"/>
                <c:pt idx="0">
                  <c:v>-6.227721784371228E-3</c:v>
                </c:pt>
                <c:pt idx="1">
                  <c:v>-3.11832466124969E-3</c:v>
                </c:pt>
                <c:pt idx="2">
                  <c:v>-1.3266598735272913E-2</c:v>
                </c:pt>
                <c:pt idx="3">
                  <c:v>1.4453246542603326E-2</c:v>
                </c:pt>
                <c:pt idx="4">
                  <c:v>1.7387756180696858E-2</c:v>
                </c:pt>
                <c:pt idx="5">
                  <c:v>1.3047078036130453E-2</c:v>
                </c:pt>
                <c:pt idx="6">
                  <c:v>8.8042996056683677E-3</c:v>
                </c:pt>
                <c:pt idx="7">
                  <c:v>-3.5906505846282277E-3</c:v>
                </c:pt>
                <c:pt idx="8">
                  <c:v>1.872672324579415E-2</c:v>
                </c:pt>
                <c:pt idx="9">
                  <c:v>1.1456201884528908E-2</c:v>
                </c:pt>
                <c:pt idx="10">
                  <c:v>8.2498598142748179E-4</c:v>
                </c:pt>
                <c:pt idx="11">
                  <c:v>7.3203947507493603E-3</c:v>
                </c:pt>
                <c:pt idx="12">
                  <c:v>-1.5373791607779888E-3</c:v>
                </c:pt>
                <c:pt idx="13">
                  <c:v>3.4393123896589227E-3</c:v>
                </c:pt>
                <c:pt idx="14">
                  <c:v>-7.9409133290654563E-3</c:v>
                </c:pt>
                <c:pt idx="15">
                  <c:v>9.7699848826767709E-3</c:v>
                </c:pt>
                <c:pt idx="16">
                  <c:v>1.4829313277375921E-2</c:v>
                </c:pt>
                <c:pt idx="17">
                  <c:v>-1.5962115126248685E-3</c:v>
                </c:pt>
                <c:pt idx="18">
                  <c:v>4.1780871132790314E-4</c:v>
                </c:pt>
                <c:pt idx="19">
                  <c:v>-4.8211082511533917E-3</c:v>
                </c:pt>
                <c:pt idx="20">
                  <c:v>5.7838097475935392E-3</c:v>
                </c:pt>
                <c:pt idx="21">
                  <c:v>1.700659694387539E-3</c:v>
                </c:pt>
                <c:pt idx="22">
                  <c:v>7.3569404531569193E-3</c:v>
                </c:pt>
                <c:pt idx="23">
                  <c:v>3.8507313038036949E-3</c:v>
                </c:pt>
                <c:pt idx="24">
                  <c:v>5.8645787463726421E-3</c:v>
                </c:pt>
                <c:pt idx="25">
                  <c:v>2.4739758438781572E-3</c:v>
                </c:pt>
                <c:pt idx="26">
                  <c:v>-7.7229385997230741E-4</c:v>
                </c:pt>
                <c:pt idx="27">
                  <c:v>1.8676043002439812E-2</c:v>
                </c:pt>
                <c:pt idx="28">
                  <c:v>2.3727936333442288E-3</c:v>
                </c:pt>
                <c:pt idx="29">
                  <c:v>4.9578515275939929E-3</c:v>
                </c:pt>
                <c:pt idx="30">
                  <c:v>5.8620055218621759E-3</c:v>
                </c:pt>
                <c:pt idx="31">
                  <c:v>1.572563385797678E-3</c:v>
                </c:pt>
                <c:pt idx="32">
                  <c:v>-8.8497009638704056E-3</c:v>
                </c:pt>
                <c:pt idx="33">
                  <c:v>1.2316061006393483E-2</c:v>
                </c:pt>
                <c:pt idx="34">
                  <c:v>-2.9596196012597479E-4</c:v>
                </c:pt>
                <c:pt idx="35">
                  <c:v>-4.5959986111782465E-3</c:v>
                </c:pt>
                <c:pt idx="36">
                  <c:v>1.0518236912697251E-2</c:v>
                </c:pt>
                <c:pt idx="37">
                  <c:v>4.236924706611753E-3</c:v>
                </c:pt>
                <c:pt idx="38">
                  <c:v>-1.750828887188809E-2</c:v>
                </c:pt>
                <c:pt idx="39">
                  <c:v>-1.4864434569361831E-2</c:v>
                </c:pt>
                <c:pt idx="40">
                  <c:v>1.4419818021123552E-2</c:v>
                </c:pt>
                <c:pt idx="41">
                  <c:v>-1.1346222835288515E-4</c:v>
                </c:pt>
                <c:pt idx="42">
                  <c:v>-9.7022931317455215E-3</c:v>
                </c:pt>
                <c:pt idx="43">
                  <c:v>1.9408854688921916E-2</c:v>
                </c:pt>
                <c:pt idx="44">
                  <c:v>-2.1350991328888853E-2</c:v>
                </c:pt>
                <c:pt idx="45">
                  <c:v>-1.5585614826359753E-2</c:v>
                </c:pt>
                <c:pt idx="46">
                  <c:v>1.026251522996607E-2</c:v>
                </c:pt>
                <c:pt idx="47">
                  <c:v>1.2409118238878771E-3</c:v>
                </c:pt>
                <c:pt idx="48">
                  <c:v>-6.9713599997151569E-3</c:v>
                </c:pt>
                <c:pt idx="49">
                  <c:v>-2.3193169098141432E-2</c:v>
                </c:pt>
                <c:pt idx="50">
                  <c:v>-1.6489806127397425E-2</c:v>
                </c:pt>
                <c:pt idx="51">
                  <c:v>-1.7441802642946667E-2</c:v>
                </c:pt>
                <c:pt idx="52">
                  <c:v>-3.165228225252735E-2</c:v>
                </c:pt>
                <c:pt idx="53">
                  <c:v>5.6465282572688E-2</c:v>
                </c:pt>
                <c:pt idx="54">
                  <c:v>-7.7863598371875819E-3</c:v>
                </c:pt>
                <c:pt idx="55">
                  <c:v>1.3052022106333157E-2</c:v>
                </c:pt>
                <c:pt idx="56">
                  <c:v>1.0040671334090336E-2</c:v>
                </c:pt>
                <c:pt idx="57">
                  <c:v>-2.7138071256355013E-2</c:v>
                </c:pt>
                <c:pt idx="58">
                  <c:v>-1.1169463727810858E-2</c:v>
                </c:pt>
                <c:pt idx="59">
                  <c:v>9.0962873275245194E-3</c:v>
                </c:pt>
                <c:pt idx="60">
                  <c:v>-5.1673532876779851E-2</c:v>
                </c:pt>
                <c:pt idx="61">
                  <c:v>-3.4484474625503352E-3</c:v>
                </c:pt>
                <c:pt idx="62">
                  <c:v>3.7943268505528454E-3</c:v>
                </c:pt>
                <c:pt idx="63">
                  <c:v>-3.6662708434718166E-2</c:v>
                </c:pt>
                <c:pt idx="64">
                  <c:v>2.7461688800141094E-2</c:v>
                </c:pt>
                <c:pt idx="65">
                  <c:v>3.0160119104411943E-2</c:v>
                </c:pt>
                <c:pt idx="66">
                  <c:v>7.4470217543647996E-3</c:v>
                </c:pt>
                <c:pt idx="67">
                  <c:v>8.2082592652014154E-3</c:v>
                </c:pt>
                <c:pt idx="68">
                  <c:v>-1.1334490520643944E-2</c:v>
                </c:pt>
                <c:pt idx="69">
                  <c:v>1.8828818945827118E-3</c:v>
                </c:pt>
                <c:pt idx="70">
                  <c:v>2.1338071147651454E-2</c:v>
                </c:pt>
                <c:pt idx="71">
                  <c:v>-1.6057093180665109E-2</c:v>
                </c:pt>
                <c:pt idx="72">
                  <c:v>-1.9780013635418217E-2</c:v>
                </c:pt>
                <c:pt idx="73">
                  <c:v>-3.2430119382283037E-3</c:v>
                </c:pt>
                <c:pt idx="74">
                  <c:v>1.0594374286305712E-2</c:v>
                </c:pt>
                <c:pt idx="75">
                  <c:v>1.6760144089707933E-2</c:v>
                </c:pt>
                <c:pt idx="76">
                  <c:v>1.2687846258919635E-2</c:v>
                </c:pt>
                <c:pt idx="77">
                  <c:v>1.5591060919153552E-2</c:v>
                </c:pt>
                <c:pt idx="78">
                  <c:v>9.5808492652027198E-3</c:v>
                </c:pt>
                <c:pt idx="79">
                  <c:v>5.7839186957268727E-3</c:v>
                </c:pt>
                <c:pt idx="80">
                  <c:v>4.024352646690715E-3</c:v>
                </c:pt>
                <c:pt idx="81">
                  <c:v>3.9551349360919643E-3</c:v>
                </c:pt>
                <c:pt idx="82">
                  <c:v>2.1792535655907053E-2</c:v>
                </c:pt>
                <c:pt idx="83">
                  <c:v>-9.843282386987208E-3</c:v>
                </c:pt>
                <c:pt idx="84">
                  <c:v>-1.0086958990477485E-2</c:v>
                </c:pt>
                <c:pt idx="85">
                  <c:v>-1.2587266150445569E-2</c:v>
                </c:pt>
                <c:pt idx="86">
                  <c:v>-7.9737439840260084E-3</c:v>
                </c:pt>
                <c:pt idx="87">
                  <c:v>6.8425815847208641E-3</c:v>
                </c:pt>
                <c:pt idx="88">
                  <c:v>-3.3314005607385351E-2</c:v>
                </c:pt>
                <c:pt idx="89">
                  <c:v>-3.9358301561321614E-3</c:v>
                </c:pt>
                <c:pt idx="90">
                  <c:v>-1.8900317303897123E-2</c:v>
                </c:pt>
                <c:pt idx="91">
                  <c:v>3.2015018345669384E-3</c:v>
                </c:pt>
                <c:pt idx="92">
                  <c:v>-2.3616333549264209E-4</c:v>
                </c:pt>
                <c:pt idx="93">
                  <c:v>2.6852496535489673E-2</c:v>
                </c:pt>
                <c:pt idx="94">
                  <c:v>7.3102402280521162E-3</c:v>
                </c:pt>
                <c:pt idx="95">
                  <c:v>1.6217337204288064E-2</c:v>
                </c:pt>
                <c:pt idx="96">
                  <c:v>1.2005475870566662E-2</c:v>
                </c:pt>
                <c:pt idx="97">
                  <c:v>4.525286641168259E-3</c:v>
                </c:pt>
                <c:pt idx="98">
                  <c:v>1.3775674116238867E-2</c:v>
                </c:pt>
                <c:pt idx="99">
                  <c:v>6.9081540717043565E-3</c:v>
                </c:pt>
                <c:pt idx="100">
                  <c:v>-8.8572738382759961E-3</c:v>
                </c:pt>
                <c:pt idx="101">
                  <c:v>-1.4645164388416228E-2</c:v>
                </c:pt>
                <c:pt idx="102">
                  <c:v>-2.9146689186626534E-3</c:v>
                </c:pt>
                <c:pt idx="103">
                  <c:v>3.5408084846877217E-3</c:v>
                </c:pt>
                <c:pt idx="104">
                  <c:v>1.2512209411213161E-2</c:v>
                </c:pt>
                <c:pt idx="105">
                  <c:v>1.605543452533597E-2</c:v>
                </c:pt>
                <c:pt idx="106">
                  <c:v>9.0976206990333458E-3</c:v>
                </c:pt>
                <c:pt idx="107">
                  <c:v>7.2300415188344871E-3</c:v>
                </c:pt>
                <c:pt idx="108">
                  <c:v>5.2928120969690622E-3</c:v>
                </c:pt>
                <c:pt idx="109">
                  <c:v>1.787574168767128E-3</c:v>
                </c:pt>
                <c:pt idx="110">
                  <c:v>-4.8947099998309512E-4</c:v>
                </c:pt>
                <c:pt idx="111">
                  <c:v>-6.9008664055830076E-3</c:v>
                </c:pt>
                <c:pt idx="112">
                  <c:v>2.6492478679298812E-2</c:v>
                </c:pt>
                <c:pt idx="113">
                  <c:v>1.3995529058074667E-3</c:v>
                </c:pt>
                <c:pt idx="114">
                  <c:v>3.2314385256553783E-4</c:v>
                </c:pt>
                <c:pt idx="115">
                  <c:v>1.2775302502727787E-3</c:v>
                </c:pt>
                <c:pt idx="116">
                  <c:v>-5.8229718942897895E-3</c:v>
                </c:pt>
                <c:pt idx="117">
                  <c:v>1.0809715902387038E-2</c:v>
                </c:pt>
                <c:pt idx="118">
                  <c:v>-1.0376211750882366E-2</c:v>
                </c:pt>
                <c:pt idx="119">
                  <c:v>-2.4977033223068955E-2</c:v>
                </c:pt>
                <c:pt idx="120">
                  <c:v>-3.8529580590432235E-3</c:v>
                </c:pt>
                <c:pt idx="121">
                  <c:v>4.587958961955396E-3</c:v>
                </c:pt>
                <c:pt idx="122">
                  <c:v>2.108318268264092E-3</c:v>
                </c:pt>
                <c:pt idx="123">
                  <c:v>1.150739156165146E-2</c:v>
                </c:pt>
                <c:pt idx="124">
                  <c:v>-3.5052941494808612E-4</c:v>
                </c:pt>
                <c:pt idx="125">
                  <c:v>-5.301845812367572E-3</c:v>
                </c:pt>
                <c:pt idx="126">
                  <c:v>-8.2012139768345323E-3</c:v>
                </c:pt>
                <c:pt idx="127">
                  <c:v>3.0064828448026493E-3</c:v>
                </c:pt>
                <c:pt idx="128">
                  <c:v>-1.538259086520118E-2</c:v>
                </c:pt>
                <c:pt idx="129">
                  <c:v>-1.2614223522628372E-2</c:v>
                </c:pt>
                <c:pt idx="130">
                  <c:v>6.7265487974008864E-3</c:v>
                </c:pt>
                <c:pt idx="131">
                  <c:v>8.9151472954432237E-3</c:v>
                </c:pt>
                <c:pt idx="132">
                  <c:v>1.0457172966464726E-3</c:v>
                </c:pt>
                <c:pt idx="133">
                  <c:v>2.7529179997289425E-2</c:v>
                </c:pt>
                <c:pt idx="134">
                  <c:v>6.2361640536430585E-3</c:v>
                </c:pt>
                <c:pt idx="135">
                  <c:v>1.1029030826172567E-2</c:v>
                </c:pt>
                <c:pt idx="136">
                  <c:v>1.006180143438553E-2</c:v>
                </c:pt>
                <c:pt idx="137">
                  <c:v>-5.0957823136419033E-3</c:v>
                </c:pt>
                <c:pt idx="138">
                  <c:v>-4.1100922766872192E-4</c:v>
                </c:pt>
                <c:pt idx="139">
                  <c:v>3.1185375589732452E-2</c:v>
                </c:pt>
                <c:pt idx="140">
                  <c:v>1.6269371088448771E-3</c:v>
                </c:pt>
                <c:pt idx="141">
                  <c:v>3.8825131980359064E-3</c:v>
                </c:pt>
                <c:pt idx="142">
                  <c:v>-4.0290481695324743E-3</c:v>
                </c:pt>
                <c:pt idx="143">
                  <c:v>2.4479402625165081E-3</c:v>
                </c:pt>
                <c:pt idx="144">
                  <c:v>1.3043811646993708E-2</c:v>
                </c:pt>
                <c:pt idx="145">
                  <c:v>6.8248892285596241E-4</c:v>
                </c:pt>
                <c:pt idx="146">
                  <c:v>-5.01756642491999E-3</c:v>
                </c:pt>
                <c:pt idx="147">
                  <c:v>-2.9755832363127423E-3</c:v>
                </c:pt>
                <c:pt idx="148">
                  <c:v>1.0626578290011228E-2</c:v>
                </c:pt>
                <c:pt idx="149">
                  <c:v>3.5109168472069541E-3</c:v>
                </c:pt>
                <c:pt idx="150">
                  <c:v>-1.0844216825038988E-3</c:v>
                </c:pt>
                <c:pt idx="151">
                  <c:v>4.3172763552627048E-3</c:v>
                </c:pt>
                <c:pt idx="152">
                  <c:v>2.3813385746513987E-4</c:v>
                </c:pt>
                <c:pt idx="153">
                  <c:v>4.5782857448553203E-3</c:v>
                </c:pt>
                <c:pt idx="154">
                  <c:v>-4.5325097970297552E-4</c:v>
                </c:pt>
                <c:pt idx="155">
                  <c:v>1.3353471967159337E-2</c:v>
                </c:pt>
                <c:pt idx="156">
                  <c:v>1.1566195238446545E-2</c:v>
                </c:pt>
                <c:pt idx="157">
                  <c:v>-2.273770731484204E-3</c:v>
                </c:pt>
                <c:pt idx="158">
                  <c:v>-3.1582494419072423E-4</c:v>
                </c:pt>
                <c:pt idx="159">
                  <c:v>2.8516999299718704E-3</c:v>
                </c:pt>
                <c:pt idx="160">
                  <c:v>-4.1036974222481192E-3</c:v>
                </c:pt>
                <c:pt idx="161">
                  <c:v>1.9696503628244551E-2</c:v>
                </c:pt>
                <c:pt idx="162">
                  <c:v>5.5258721941534852E-3</c:v>
                </c:pt>
                <c:pt idx="163">
                  <c:v>-2.607083909210002E-3</c:v>
                </c:pt>
                <c:pt idx="164">
                  <c:v>-5.2380662185597593E-4</c:v>
                </c:pt>
                <c:pt idx="165">
                  <c:v>-3.9551424921777092E-3</c:v>
                </c:pt>
                <c:pt idx="166">
                  <c:v>1.7299242880819217E-3</c:v>
                </c:pt>
                <c:pt idx="167">
                  <c:v>1.0374466537933041E-2</c:v>
                </c:pt>
                <c:pt idx="168">
                  <c:v>5.4084577941952987E-4</c:v>
                </c:pt>
                <c:pt idx="169">
                  <c:v>7.4098178512602775E-3</c:v>
                </c:pt>
                <c:pt idx="170">
                  <c:v>-1.5532647184394442E-3</c:v>
                </c:pt>
                <c:pt idx="171">
                  <c:v>-1.0535404179602761E-2</c:v>
                </c:pt>
                <c:pt idx="172">
                  <c:v>1.0611555318212226E-2</c:v>
                </c:pt>
                <c:pt idx="173">
                  <c:v>5.7046849498320184E-3</c:v>
                </c:pt>
                <c:pt idx="174">
                  <c:v>4.9075724570201906E-3</c:v>
                </c:pt>
                <c:pt idx="175">
                  <c:v>1.7508712517357021E-2</c:v>
                </c:pt>
                <c:pt idx="176">
                  <c:v>7.0905377505855885E-3</c:v>
                </c:pt>
                <c:pt idx="177">
                  <c:v>3.4168950548313618E-3</c:v>
                </c:pt>
                <c:pt idx="178">
                  <c:v>3.5254881119081093E-3</c:v>
                </c:pt>
                <c:pt idx="179">
                  <c:v>-4.848324311654678E-3</c:v>
                </c:pt>
                <c:pt idx="180">
                  <c:v>-5.7173418920423913E-3</c:v>
                </c:pt>
                <c:pt idx="181">
                  <c:v>-9.576708438807046E-3</c:v>
                </c:pt>
                <c:pt idx="182">
                  <c:v>5.7572103183941509E-3</c:v>
                </c:pt>
                <c:pt idx="183">
                  <c:v>-4.431947514230602E-3</c:v>
                </c:pt>
                <c:pt idx="184">
                  <c:v>-2.0810255550102318E-2</c:v>
                </c:pt>
                <c:pt idx="185">
                  <c:v>9.6737684913198244E-3</c:v>
                </c:pt>
                <c:pt idx="186">
                  <c:v>5.305282340103184E-3</c:v>
                </c:pt>
                <c:pt idx="187">
                  <c:v>-8.2085684533830562E-3</c:v>
                </c:pt>
                <c:pt idx="188">
                  <c:v>-8.5001069227636887E-3</c:v>
                </c:pt>
                <c:pt idx="189">
                  <c:v>-7.4559816425983404E-3</c:v>
                </c:pt>
                <c:pt idx="190">
                  <c:v>2.4416934169811489E-2</c:v>
                </c:pt>
                <c:pt idx="191">
                  <c:v>2.2144177961578589E-2</c:v>
                </c:pt>
                <c:pt idx="192">
                  <c:v>1.8631227476476116E-3</c:v>
                </c:pt>
                <c:pt idx="193">
                  <c:v>3.3346717205228566E-3</c:v>
                </c:pt>
                <c:pt idx="194">
                  <c:v>6.3592692524884467E-3</c:v>
                </c:pt>
                <c:pt idx="195">
                  <c:v>-1.7276639959743633E-3</c:v>
                </c:pt>
                <c:pt idx="196">
                  <c:v>3.9291113102109757E-3</c:v>
                </c:pt>
                <c:pt idx="197">
                  <c:v>-2.0812013745690372E-4</c:v>
                </c:pt>
                <c:pt idx="198">
                  <c:v>8.1747757435141552E-3</c:v>
                </c:pt>
                <c:pt idx="199">
                  <c:v>5.5339329067913929E-3</c:v>
                </c:pt>
                <c:pt idx="200">
                  <c:v>-3.8857857489030265E-3</c:v>
                </c:pt>
                <c:pt idx="201">
                  <c:v>-1.8631547687235762E-3</c:v>
                </c:pt>
                <c:pt idx="202">
                  <c:v>1.06114122826024E-3</c:v>
                </c:pt>
                <c:pt idx="203">
                  <c:v>3.980082958830759E-4</c:v>
                </c:pt>
                <c:pt idx="204">
                  <c:v>1.4748899931152998E-2</c:v>
                </c:pt>
                <c:pt idx="205">
                  <c:v>2.2271317289005435E-3</c:v>
                </c:pt>
                <c:pt idx="206">
                  <c:v>6.864116848528739E-4</c:v>
                </c:pt>
                <c:pt idx="207">
                  <c:v>-2.2766345015204316E-4</c:v>
                </c:pt>
                <c:pt idx="208">
                  <c:v>-3.0275887118576808E-3</c:v>
                </c:pt>
                <c:pt idx="209">
                  <c:v>2.1445359456527253E-4</c:v>
                </c:pt>
                <c:pt idx="210">
                  <c:v>7.764842308393442E-3</c:v>
                </c:pt>
                <c:pt idx="211">
                  <c:v>-3.1120981094676179E-3</c:v>
                </c:pt>
                <c:pt idx="212">
                  <c:v>1.0281917814124308E-3</c:v>
                </c:pt>
                <c:pt idx="213">
                  <c:v>1.2743762508581821E-2</c:v>
                </c:pt>
                <c:pt idx="214">
                  <c:v>7.411425723044123E-3</c:v>
                </c:pt>
                <c:pt idx="215">
                  <c:v>-1.0263972944550008E-3</c:v>
                </c:pt>
                <c:pt idx="216">
                  <c:v>9.1725632382372736E-4</c:v>
                </c:pt>
                <c:pt idx="217">
                  <c:v>-6.4159090100950897E-3</c:v>
                </c:pt>
                <c:pt idx="218">
                  <c:v>-9.839201372263795E-3</c:v>
                </c:pt>
                <c:pt idx="219">
                  <c:v>1.1475432431252586E-2</c:v>
                </c:pt>
                <c:pt idx="220">
                  <c:v>1.707802842657306E-2</c:v>
                </c:pt>
                <c:pt idx="221">
                  <c:v>9.8347856082217611E-4</c:v>
                </c:pt>
                <c:pt idx="222">
                  <c:v>-1.4805338829107636E-4</c:v>
                </c:pt>
                <c:pt idx="223">
                  <c:v>-3.0475917587689276E-3</c:v>
                </c:pt>
                <c:pt idx="224">
                  <c:v>8.8694667678517903E-3</c:v>
                </c:pt>
                <c:pt idx="225">
                  <c:v>-2.8365391144594583E-3</c:v>
                </c:pt>
                <c:pt idx="226">
                  <c:v>-1.3017498090529833E-2</c:v>
                </c:pt>
                <c:pt idx="227">
                  <c:v>-6.3362679135440777E-4</c:v>
                </c:pt>
                <c:pt idx="228">
                  <c:v>3.0044356009126614E-3</c:v>
                </c:pt>
                <c:pt idx="229">
                  <c:v>1.898691623048466E-4</c:v>
                </c:pt>
                <c:pt idx="230">
                  <c:v>8.2947588708411416E-3</c:v>
                </c:pt>
                <c:pt idx="231">
                  <c:v>2.8246115138396786E-3</c:v>
                </c:pt>
                <c:pt idx="232">
                  <c:v>-1.2102498292124394E-2</c:v>
                </c:pt>
                <c:pt idx="233">
                  <c:v>-5.7658356547512129E-3</c:v>
                </c:pt>
                <c:pt idx="234">
                  <c:v>1.3453517265473787E-2</c:v>
                </c:pt>
                <c:pt idx="235">
                  <c:v>7.7068688032777164E-3</c:v>
                </c:pt>
                <c:pt idx="236">
                  <c:v>-3.4650219714412096E-4</c:v>
                </c:pt>
                <c:pt idx="237">
                  <c:v>2.9675512964599635E-3</c:v>
                </c:pt>
                <c:pt idx="238">
                  <c:v>3.6666556214883157E-3</c:v>
                </c:pt>
                <c:pt idx="239">
                  <c:v>6.2048399157796103E-5</c:v>
                </c:pt>
                <c:pt idx="240">
                  <c:v>-9.7779385858133873E-3</c:v>
                </c:pt>
                <c:pt idx="241">
                  <c:v>-1.2363755377567464E-2</c:v>
                </c:pt>
                <c:pt idx="242">
                  <c:v>6.7206578356796441E-3</c:v>
                </c:pt>
                <c:pt idx="243">
                  <c:v>1.0574684259544085E-2</c:v>
                </c:pt>
                <c:pt idx="244">
                  <c:v>1.6320895913370537E-4</c:v>
                </c:pt>
                <c:pt idx="245">
                  <c:v>6.6044607412600468E-3</c:v>
                </c:pt>
                <c:pt idx="246">
                  <c:v>1.7614007727004425E-3</c:v>
                </c:pt>
                <c:pt idx="247">
                  <c:v>6.3919257280688835E-3</c:v>
                </c:pt>
                <c:pt idx="248">
                  <c:v>-5.9136343737300791E-3</c:v>
                </c:pt>
                <c:pt idx="249">
                  <c:v>-1.3594034813758146E-2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264128"/>
        <c:axId val="117453184"/>
      </c:lineChart>
      <c:dateAx>
        <c:axId val="115264128"/>
        <c:scaling>
          <c:orientation val="minMax"/>
        </c:scaling>
        <c:delete val="0"/>
        <c:axPos val="b"/>
        <c:numFmt formatCode="[$-409]d\-mmm\-yy;@" sourceLinked="1"/>
        <c:majorTickMark val="none"/>
        <c:minorTickMark val="none"/>
        <c:tickLblPos val="nextTo"/>
        <c:crossAx val="117453184"/>
        <c:crosses val="autoZero"/>
        <c:auto val="1"/>
        <c:lblOffset val="100"/>
        <c:baseTimeUnit val="days"/>
      </c:dateAx>
      <c:valAx>
        <c:axId val="11745318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1526412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prueba!$K$2</c:f>
              <c:strCache>
                <c:ptCount val="1"/>
                <c:pt idx="0">
                  <c:v>ISE</c:v>
                </c:pt>
              </c:strCache>
            </c:strRef>
          </c:tx>
          <c:marker>
            <c:symbol val="none"/>
          </c:marker>
          <c:cat>
            <c:numRef>
              <c:f>prueba!$A$3:$A$252</c:f>
              <c:numCache>
                <c:formatCode>[$-409]d\-mmm\-yy;@</c:formatCode>
                <c:ptCount val="250"/>
                <c:pt idx="0">
                  <c:v>40232</c:v>
                </c:pt>
                <c:pt idx="1">
                  <c:v>40233</c:v>
                </c:pt>
                <c:pt idx="2">
                  <c:v>40234</c:v>
                </c:pt>
                <c:pt idx="3">
                  <c:v>40235</c:v>
                </c:pt>
                <c:pt idx="4">
                  <c:v>40238</c:v>
                </c:pt>
                <c:pt idx="5">
                  <c:v>40239</c:v>
                </c:pt>
                <c:pt idx="6">
                  <c:v>40240</c:v>
                </c:pt>
                <c:pt idx="7">
                  <c:v>40241</c:v>
                </c:pt>
                <c:pt idx="8">
                  <c:v>40242</c:v>
                </c:pt>
                <c:pt idx="9">
                  <c:v>40245</c:v>
                </c:pt>
                <c:pt idx="10">
                  <c:v>40246</c:v>
                </c:pt>
                <c:pt idx="11">
                  <c:v>40247</c:v>
                </c:pt>
                <c:pt idx="12">
                  <c:v>40248</c:v>
                </c:pt>
                <c:pt idx="13">
                  <c:v>40249</c:v>
                </c:pt>
                <c:pt idx="14">
                  <c:v>40252</c:v>
                </c:pt>
                <c:pt idx="15">
                  <c:v>40253</c:v>
                </c:pt>
                <c:pt idx="16">
                  <c:v>40254</c:v>
                </c:pt>
                <c:pt idx="17">
                  <c:v>40255</c:v>
                </c:pt>
                <c:pt idx="18">
                  <c:v>40256</c:v>
                </c:pt>
                <c:pt idx="19">
                  <c:v>40259</c:v>
                </c:pt>
                <c:pt idx="20">
                  <c:v>40260</c:v>
                </c:pt>
                <c:pt idx="21">
                  <c:v>40261</c:v>
                </c:pt>
                <c:pt idx="22">
                  <c:v>40262</c:v>
                </c:pt>
                <c:pt idx="23">
                  <c:v>40263</c:v>
                </c:pt>
                <c:pt idx="24">
                  <c:v>40266</c:v>
                </c:pt>
                <c:pt idx="25">
                  <c:v>40267</c:v>
                </c:pt>
                <c:pt idx="26">
                  <c:v>40268</c:v>
                </c:pt>
                <c:pt idx="27">
                  <c:v>40269</c:v>
                </c:pt>
                <c:pt idx="28">
                  <c:v>40270</c:v>
                </c:pt>
                <c:pt idx="29">
                  <c:v>40273</c:v>
                </c:pt>
                <c:pt idx="30">
                  <c:v>40274</c:v>
                </c:pt>
                <c:pt idx="31">
                  <c:v>40275</c:v>
                </c:pt>
                <c:pt idx="32">
                  <c:v>40276</c:v>
                </c:pt>
                <c:pt idx="33">
                  <c:v>40277</c:v>
                </c:pt>
                <c:pt idx="34">
                  <c:v>40280</c:v>
                </c:pt>
                <c:pt idx="35">
                  <c:v>40281</c:v>
                </c:pt>
                <c:pt idx="36">
                  <c:v>40282</c:v>
                </c:pt>
                <c:pt idx="37">
                  <c:v>40283</c:v>
                </c:pt>
                <c:pt idx="38">
                  <c:v>40284</c:v>
                </c:pt>
                <c:pt idx="39">
                  <c:v>40287</c:v>
                </c:pt>
                <c:pt idx="40">
                  <c:v>40288</c:v>
                </c:pt>
                <c:pt idx="41">
                  <c:v>40289</c:v>
                </c:pt>
                <c:pt idx="42">
                  <c:v>40290</c:v>
                </c:pt>
                <c:pt idx="43">
                  <c:v>40294</c:v>
                </c:pt>
                <c:pt idx="44">
                  <c:v>40295</c:v>
                </c:pt>
                <c:pt idx="45">
                  <c:v>40296</c:v>
                </c:pt>
                <c:pt idx="46">
                  <c:v>40297</c:v>
                </c:pt>
                <c:pt idx="47">
                  <c:v>40298</c:v>
                </c:pt>
                <c:pt idx="48">
                  <c:v>40301</c:v>
                </c:pt>
                <c:pt idx="49">
                  <c:v>40302</c:v>
                </c:pt>
                <c:pt idx="50">
                  <c:v>40303</c:v>
                </c:pt>
                <c:pt idx="51">
                  <c:v>40304</c:v>
                </c:pt>
                <c:pt idx="52">
                  <c:v>40305</c:v>
                </c:pt>
                <c:pt idx="53">
                  <c:v>40308</c:v>
                </c:pt>
                <c:pt idx="54">
                  <c:v>40309</c:v>
                </c:pt>
                <c:pt idx="55">
                  <c:v>40310</c:v>
                </c:pt>
                <c:pt idx="56">
                  <c:v>40311</c:v>
                </c:pt>
                <c:pt idx="57">
                  <c:v>40312</c:v>
                </c:pt>
                <c:pt idx="58">
                  <c:v>40315</c:v>
                </c:pt>
                <c:pt idx="59">
                  <c:v>40316</c:v>
                </c:pt>
                <c:pt idx="60">
                  <c:v>40318</c:v>
                </c:pt>
                <c:pt idx="61">
                  <c:v>40319</c:v>
                </c:pt>
                <c:pt idx="62">
                  <c:v>40322</c:v>
                </c:pt>
                <c:pt idx="63">
                  <c:v>40323</c:v>
                </c:pt>
                <c:pt idx="64">
                  <c:v>40324</c:v>
                </c:pt>
                <c:pt idx="65">
                  <c:v>40325</c:v>
                </c:pt>
                <c:pt idx="66">
                  <c:v>40326</c:v>
                </c:pt>
                <c:pt idx="67">
                  <c:v>40329</c:v>
                </c:pt>
                <c:pt idx="68">
                  <c:v>40330</c:v>
                </c:pt>
                <c:pt idx="69">
                  <c:v>40331</c:v>
                </c:pt>
                <c:pt idx="70">
                  <c:v>40332</c:v>
                </c:pt>
                <c:pt idx="71">
                  <c:v>40333</c:v>
                </c:pt>
                <c:pt idx="72">
                  <c:v>40336</c:v>
                </c:pt>
                <c:pt idx="73">
                  <c:v>40337</c:v>
                </c:pt>
                <c:pt idx="74">
                  <c:v>40338</c:v>
                </c:pt>
                <c:pt idx="75">
                  <c:v>40339</c:v>
                </c:pt>
                <c:pt idx="76">
                  <c:v>40340</c:v>
                </c:pt>
                <c:pt idx="77">
                  <c:v>40343</c:v>
                </c:pt>
                <c:pt idx="78">
                  <c:v>40344</c:v>
                </c:pt>
                <c:pt idx="79">
                  <c:v>40345</c:v>
                </c:pt>
                <c:pt idx="80">
                  <c:v>40346</c:v>
                </c:pt>
                <c:pt idx="81">
                  <c:v>40347</c:v>
                </c:pt>
                <c:pt idx="82">
                  <c:v>40350</c:v>
                </c:pt>
                <c:pt idx="83">
                  <c:v>40351</c:v>
                </c:pt>
                <c:pt idx="84">
                  <c:v>40352</c:v>
                </c:pt>
                <c:pt idx="85">
                  <c:v>40353</c:v>
                </c:pt>
                <c:pt idx="86">
                  <c:v>40354</c:v>
                </c:pt>
                <c:pt idx="87">
                  <c:v>40357</c:v>
                </c:pt>
                <c:pt idx="88">
                  <c:v>40358</c:v>
                </c:pt>
                <c:pt idx="89">
                  <c:v>40359</c:v>
                </c:pt>
                <c:pt idx="90">
                  <c:v>40360</c:v>
                </c:pt>
                <c:pt idx="91">
                  <c:v>40361</c:v>
                </c:pt>
                <c:pt idx="92">
                  <c:v>40364</c:v>
                </c:pt>
                <c:pt idx="93">
                  <c:v>40365</c:v>
                </c:pt>
                <c:pt idx="94">
                  <c:v>40366</c:v>
                </c:pt>
                <c:pt idx="95">
                  <c:v>40367</c:v>
                </c:pt>
                <c:pt idx="96">
                  <c:v>40368</c:v>
                </c:pt>
                <c:pt idx="97">
                  <c:v>40371</c:v>
                </c:pt>
                <c:pt idx="98">
                  <c:v>40372</c:v>
                </c:pt>
                <c:pt idx="99">
                  <c:v>40373</c:v>
                </c:pt>
                <c:pt idx="100">
                  <c:v>40374</c:v>
                </c:pt>
                <c:pt idx="101">
                  <c:v>40375</c:v>
                </c:pt>
                <c:pt idx="102">
                  <c:v>40378</c:v>
                </c:pt>
                <c:pt idx="103">
                  <c:v>40379</c:v>
                </c:pt>
                <c:pt idx="104">
                  <c:v>40380</c:v>
                </c:pt>
                <c:pt idx="105">
                  <c:v>40381</c:v>
                </c:pt>
                <c:pt idx="106">
                  <c:v>40382</c:v>
                </c:pt>
                <c:pt idx="107">
                  <c:v>40385</c:v>
                </c:pt>
                <c:pt idx="108">
                  <c:v>40386</c:v>
                </c:pt>
                <c:pt idx="109">
                  <c:v>40387</c:v>
                </c:pt>
                <c:pt idx="110">
                  <c:v>40388</c:v>
                </c:pt>
                <c:pt idx="111">
                  <c:v>40389</c:v>
                </c:pt>
                <c:pt idx="112">
                  <c:v>40392</c:v>
                </c:pt>
                <c:pt idx="113">
                  <c:v>40393</c:v>
                </c:pt>
                <c:pt idx="114">
                  <c:v>40394</c:v>
                </c:pt>
                <c:pt idx="115">
                  <c:v>40395</c:v>
                </c:pt>
                <c:pt idx="116">
                  <c:v>40396</c:v>
                </c:pt>
                <c:pt idx="117">
                  <c:v>40399</c:v>
                </c:pt>
                <c:pt idx="118">
                  <c:v>40400</c:v>
                </c:pt>
                <c:pt idx="119">
                  <c:v>40401</c:v>
                </c:pt>
                <c:pt idx="120">
                  <c:v>40402</c:v>
                </c:pt>
                <c:pt idx="121">
                  <c:v>40403</c:v>
                </c:pt>
                <c:pt idx="122">
                  <c:v>40406</c:v>
                </c:pt>
                <c:pt idx="123">
                  <c:v>40407</c:v>
                </c:pt>
                <c:pt idx="124">
                  <c:v>40408</c:v>
                </c:pt>
                <c:pt idx="125">
                  <c:v>40409</c:v>
                </c:pt>
                <c:pt idx="126">
                  <c:v>40410</c:v>
                </c:pt>
                <c:pt idx="127">
                  <c:v>40413</c:v>
                </c:pt>
                <c:pt idx="128">
                  <c:v>40414</c:v>
                </c:pt>
                <c:pt idx="129">
                  <c:v>40415</c:v>
                </c:pt>
                <c:pt idx="130">
                  <c:v>40416</c:v>
                </c:pt>
                <c:pt idx="131">
                  <c:v>40417</c:v>
                </c:pt>
                <c:pt idx="132">
                  <c:v>40421</c:v>
                </c:pt>
                <c:pt idx="133">
                  <c:v>40422</c:v>
                </c:pt>
                <c:pt idx="134">
                  <c:v>40423</c:v>
                </c:pt>
                <c:pt idx="135">
                  <c:v>40424</c:v>
                </c:pt>
                <c:pt idx="136">
                  <c:v>40427</c:v>
                </c:pt>
                <c:pt idx="137">
                  <c:v>40428</c:v>
                </c:pt>
                <c:pt idx="138">
                  <c:v>40429</c:v>
                </c:pt>
                <c:pt idx="139">
                  <c:v>40434</c:v>
                </c:pt>
                <c:pt idx="140">
                  <c:v>40435</c:v>
                </c:pt>
                <c:pt idx="141">
                  <c:v>40436</c:v>
                </c:pt>
                <c:pt idx="142">
                  <c:v>40437</c:v>
                </c:pt>
                <c:pt idx="143">
                  <c:v>40438</c:v>
                </c:pt>
                <c:pt idx="144">
                  <c:v>40441</c:v>
                </c:pt>
                <c:pt idx="145">
                  <c:v>40442</c:v>
                </c:pt>
                <c:pt idx="146">
                  <c:v>40443</c:v>
                </c:pt>
                <c:pt idx="147">
                  <c:v>40444</c:v>
                </c:pt>
                <c:pt idx="148">
                  <c:v>40445</c:v>
                </c:pt>
                <c:pt idx="149">
                  <c:v>40448</c:v>
                </c:pt>
                <c:pt idx="150">
                  <c:v>40449</c:v>
                </c:pt>
                <c:pt idx="151">
                  <c:v>40450</c:v>
                </c:pt>
                <c:pt idx="152">
                  <c:v>40451</c:v>
                </c:pt>
                <c:pt idx="153">
                  <c:v>40452</c:v>
                </c:pt>
                <c:pt idx="154">
                  <c:v>40455</c:v>
                </c:pt>
                <c:pt idx="155">
                  <c:v>40456</c:v>
                </c:pt>
                <c:pt idx="156">
                  <c:v>40457</c:v>
                </c:pt>
                <c:pt idx="157">
                  <c:v>40458</c:v>
                </c:pt>
                <c:pt idx="158">
                  <c:v>40459</c:v>
                </c:pt>
                <c:pt idx="159">
                  <c:v>40462</c:v>
                </c:pt>
                <c:pt idx="160">
                  <c:v>40463</c:v>
                </c:pt>
                <c:pt idx="161">
                  <c:v>40464</c:v>
                </c:pt>
                <c:pt idx="162">
                  <c:v>40465</c:v>
                </c:pt>
                <c:pt idx="163">
                  <c:v>40466</c:v>
                </c:pt>
                <c:pt idx="164">
                  <c:v>40469</c:v>
                </c:pt>
                <c:pt idx="165">
                  <c:v>40470</c:v>
                </c:pt>
                <c:pt idx="166">
                  <c:v>40471</c:v>
                </c:pt>
                <c:pt idx="167">
                  <c:v>40472</c:v>
                </c:pt>
                <c:pt idx="168">
                  <c:v>40473</c:v>
                </c:pt>
                <c:pt idx="169">
                  <c:v>40476</c:v>
                </c:pt>
                <c:pt idx="170">
                  <c:v>40477</c:v>
                </c:pt>
                <c:pt idx="171">
                  <c:v>40478</c:v>
                </c:pt>
                <c:pt idx="172">
                  <c:v>40483</c:v>
                </c:pt>
                <c:pt idx="173">
                  <c:v>40484</c:v>
                </c:pt>
                <c:pt idx="174">
                  <c:v>40485</c:v>
                </c:pt>
                <c:pt idx="175">
                  <c:v>40486</c:v>
                </c:pt>
                <c:pt idx="176">
                  <c:v>40487</c:v>
                </c:pt>
                <c:pt idx="177">
                  <c:v>40490</c:v>
                </c:pt>
                <c:pt idx="178">
                  <c:v>40491</c:v>
                </c:pt>
                <c:pt idx="179">
                  <c:v>40492</c:v>
                </c:pt>
                <c:pt idx="180">
                  <c:v>40493</c:v>
                </c:pt>
                <c:pt idx="181">
                  <c:v>40494</c:v>
                </c:pt>
                <c:pt idx="182">
                  <c:v>40497</c:v>
                </c:pt>
                <c:pt idx="183">
                  <c:v>40504</c:v>
                </c:pt>
                <c:pt idx="184">
                  <c:v>40505</c:v>
                </c:pt>
                <c:pt idx="185">
                  <c:v>40506</c:v>
                </c:pt>
                <c:pt idx="186">
                  <c:v>40507</c:v>
                </c:pt>
                <c:pt idx="187">
                  <c:v>40508</c:v>
                </c:pt>
                <c:pt idx="188">
                  <c:v>40511</c:v>
                </c:pt>
                <c:pt idx="189">
                  <c:v>40512</c:v>
                </c:pt>
                <c:pt idx="190">
                  <c:v>40513</c:v>
                </c:pt>
                <c:pt idx="191">
                  <c:v>40514</c:v>
                </c:pt>
                <c:pt idx="192">
                  <c:v>40515</c:v>
                </c:pt>
                <c:pt idx="193">
                  <c:v>40518</c:v>
                </c:pt>
                <c:pt idx="194">
                  <c:v>40519</c:v>
                </c:pt>
                <c:pt idx="195">
                  <c:v>40520</c:v>
                </c:pt>
                <c:pt idx="196">
                  <c:v>40521</c:v>
                </c:pt>
                <c:pt idx="197">
                  <c:v>40522</c:v>
                </c:pt>
                <c:pt idx="198">
                  <c:v>40525</c:v>
                </c:pt>
                <c:pt idx="199">
                  <c:v>40526</c:v>
                </c:pt>
                <c:pt idx="200">
                  <c:v>40527</c:v>
                </c:pt>
                <c:pt idx="201">
                  <c:v>40528</c:v>
                </c:pt>
                <c:pt idx="202">
                  <c:v>40529</c:v>
                </c:pt>
                <c:pt idx="203">
                  <c:v>40532</c:v>
                </c:pt>
                <c:pt idx="204">
                  <c:v>40533</c:v>
                </c:pt>
                <c:pt idx="205">
                  <c:v>40534</c:v>
                </c:pt>
                <c:pt idx="206">
                  <c:v>40535</c:v>
                </c:pt>
                <c:pt idx="207">
                  <c:v>40536</c:v>
                </c:pt>
                <c:pt idx="208">
                  <c:v>40539</c:v>
                </c:pt>
                <c:pt idx="209">
                  <c:v>40540</c:v>
                </c:pt>
                <c:pt idx="210">
                  <c:v>40541</c:v>
                </c:pt>
                <c:pt idx="211">
                  <c:v>40542</c:v>
                </c:pt>
                <c:pt idx="212">
                  <c:v>40543</c:v>
                </c:pt>
                <c:pt idx="213">
                  <c:v>40546</c:v>
                </c:pt>
                <c:pt idx="214">
                  <c:v>40547</c:v>
                </c:pt>
                <c:pt idx="215">
                  <c:v>40548</c:v>
                </c:pt>
                <c:pt idx="216">
                  <c:v>40549</c:v>
                </c:pt>
                <c:pt idx="217">
                  <c:v>40550</c:v>
                </c:pt>
                <c:pt idx="218">
                  <c:v>40553</c:v>
                </c:pt>
                <c:pt idx="219">
                  <c:v>40554</c:v>
                </c:pt>
                <c:pt idx="220">
                  <c:v>40555</c:v>
                </c:pt>
                <c:pt idx="221">
                  <c:v>40556</c:v>
                </c:pt>
                <c:pt idx="222">
                  <c:v>40557</c:v>
                </c:pt>
                <c:pt idx="223">
                  <c:v>40560</c:v>
                </c:pt>
                <c:pt idx="224">
                  <c:v>40561</c:v>
                </c:pt>
                <c:pt idx="225">
                  <c:v>40562</c:v>
                </c:pt>
                <c:pt idx="226">
                  <c:v>40563</c:v>
                </c:pt>
                <c:pt idx="227">
                  <c:v>40564</c:v>
                </c:pt>
                <c:pt idx="228">
                  <c:v>40567</c:v>
                </c:pt>
                <c:pt idx="229">
                  <c:v>40568</c:v>
                </c:pt>
                <c:pt idx="230">
                  <c:v>40569</c:v>
                </c:pt>
                <c:pt idx="231">
                  <c:v>40570</c:v>
                </c:pt>
                <c:pt idx="232">
                  <c:v>40571</c:v>
                </c:pt>
                <c:pt idx="233">
                  <c:v>40574</c:v>
                </c:pt>
                <c:pt idx="234">
                  <c:v>40575</c:v>
                </c:pt>
                <c:pt idx="235">
                  <c:v>40576</c:v>
                </c:pt>
                <c:pt idx="236">
                  <c:v>40577</c:v>
                </c:pt>
                <c:pt idx="237">
                  <c:v>40578</c:v>
                </c:pt>
                <c:pt idx="238">
                  <c:v>40581</c:v>
                </c:pt>
                <c:pt idx="239">
                  <c:v>40582</c:v>
                </c:pt>
                <c:pt idx="240">
                  <c:v>40583</c:v>
                </c:pt>
                <c:pt idx="241">
                  <c:v>40584</c:v>
                </c:pt>
                <c:pt idx="242">
                  <c:v>40585</c:v>
                </c:pt>
                <c:pt idx="243">
                  <c:v>40588</c:v>
                </c:pt>
                <c:pt idx="244">
                  <c:v>40589</c:v>
                </c:pt>
                <c:pt idx="245">
                  <c:v>40590</c:v>
                </c:pt>
                <c:pt idx="246">
                  <c:v>40591</c:v>
                </c:pt>
                <c:pt idx="247">
                  <c:v>40592</c:v>
                </c:pt>
                <c:pt idx="248">
                  <c:v>40595</c:v>
                </c:pt>
                <c:pt idx="249">
                  <c:v>40596</c:v>
                </c:pt>
              </c:numCache>
            </c:numRef>
          </c:cat>
          <c:val>
            <c:numRef>
              <c:f>prueba!$K$3:$K$252</c:f>
              <c:numCache>
                <c:formatCode>General</c:formatCode>
                <c:ptCount val="250"/>
                <c:pt idx="0">
                  <c:v>-3.2981933999999997E-2</c:v>
                </c:pt>
                <c:pt idx="1">
                  <c:v>-4.3526856000000003E-2</c:v>
                </c:pt>
                <c:pt idx="2">
                  <c:v>-2.0265320999999999E-2</c:v>
                </c:pt>
                <c:pt idx="3">
                  <c:v>2.2167026999999999E-2</c:v>
                </c:pt>
                <c:pt idx="4">
                  <c:v>2.9827052E-2</c:v>
                </c:pt>
                <c:pt idx="5">
                  <c:v>8.1772140000000004E-3</c:v>
                </c:pt>
                <c:pt idx="6">
                  <c:v>3.7990379999999998E-3</c:v>
                </c:pt>
                <c:pt idx="7">
                  <c:v>-8.7260900000000006E-3</c:v>
                </c:pt>
                <c:pt idx="8">
                  <c:v>2.2575537E-2</c:v>
                </c:pt>
                <c:pt idx="9">
                  <c:v>2.2410943999999999E-2</c:v>
                </c:pt>
                <c:pt idx="10">
                  <c:v>-1.2297361999999999E-2</c:v>
                </c:pt>
                <c:pt idx="11">
                  <c:v>-2.936129E-3</c:v>
                </c:pt>
                <c:pt idx="12">
                  <c:v>-5.5874719999999996E-3</c:v>
                </c:pt>
                <c:pt idx="13">
                  <c:v>3.5570049999999998E-3</c:v>
                </c:pt>
                <c:pt idx="14">
                  <c:v>-6.3373630000000004E-3</c:v>
                </c:pt>
                <c:pt idx="15">
                  <c:v>2.4778657999999999E-2</c:v>
                </c:pt>
                <c:pt idx="16">
                  <c:v>2.7046713999999999E-2</c:v>
                </c:pt>
                <c:pt idx="17">
                  <c:v>-1.8503617E-2</c:v>
                </c:pt>
                <c:pt idx="18">
                  <c:v>-7.7491770000000003E-3</c:v>
                </c:pt>
                <c:pt idx="19">
                  <c:v>-3.3317299999999998E-4</c:v>
                </c:pt>
                <c:pt idx="20">
                  <c:v>9.1997510000000008E-3</c:v>
                </c:pt>
                <c:pt idx="21">
                  <c:v>1.5642970999999999E-2</c:v>
                </c:pt>
                <c:pt idx="22">
                  <c:v>3.4281823000000003E-2</c:v>
                </c:pt>
                <c:pt idx="23">
                  <c:v>-2.5390999999999999E-3</c:v>
                </c:pt>
                <c:pt idx="24">
                  <c:v>2.9870510000000001E-3</c:v>
                </c:pt>
                <c:pt idx="25">
                  <c:v>2.8998959999999999E-3</c:v>
                </c:pt>
                <c:pt idx="26">
                  <c:v>9.2072599999999997E-6</c:v>
                </c:pt>
                <c:pt idx="27">
                  <c:v>2.3256492E-2</c:v>
                </c:pt>
                <c:pt idx="28">
                  <c:v>6.6703969999999998E-3</c:v>
                </c:pt>
                <c:pt idx="29">
                  <c:v>1.1553941E-2</c:v>
                </c:pt>
                <c:pt idx="30">
                  <c:v>-1.3568009999999999E-3</c:v>
                </c:pt>
                <c:pt idx="31">
                  <c:v>1.1301841E-2</c:v>
                </c:pt>
                <c:pt idx="32">
                  <c:v>-6.8009860000000002E-3</c:v>
                </c:pt>
                <c:pt idx="33">
                  <c:v>2.3087673E-2</c:v>
                </c:pt>
                <c:pt idx="34">
                  <c:v>-3.594491E-3</c:v>
                </c:pt>
                <c:pt idx="35">
                  <c:v>-1.6214159999999998E-2</c:v>
                </c:pt>
                <c:pt idx="36">
                  <c:v>2.8145888000000001E-2</c:v>
                </c:pt>
                <c:pt idx="37">
                  <c:v>-3.2906010000000002E-3</c:v>
                </c:pt>
                <c:pt idx="38">
                  <c:v>-1.1798022999999999E-2</c:v>
                </c:pt>
                <c:pt idx="39">
                  <c:v>-1.4212047E-2</c:v>
                </c:pt>
                <c:pt idx="40">
                  <c:v>1.6708117000000001E-2</c:v>
                </c:pt>
                <c:pt idx="41">
                  <c:v>-3.765961E-3</c:v>
                </c:pt>
                <c:pt idx="42">
                  <c:v>-1.1803199999999999E-3</c:v>
                </c:pt>
                <c:pt idx="43">
                  <c:v>1.5475997E-2</c:v>
                </c:pt>
                <c:pt idx="44">
                  <c:v>-1.7618884000000001E-2</c:v>
                </c:pt>
                <c:pt idx="45">
                  <c:v>-2.0578676000000001E-2</c:v>
                </c:pt>
                <c:pt idx="46">
                  <c:v>2.5293045E-2</c:v>
                </c:pt>
                <c:pt idx="47">
                  <c:v>8.7574430000000002E-3</c:v>
                </c:pt>
                <c:pt idx="48">
                  <c:v>-1.7841335E-2</c:v>
                </c:pt>
                <c:pt idx="49">
                  <c:v>-2.1593711000000002E-2</c:v>
                </c:pt>
                <c:pt idx="50">
                  <c:v>-2.80919E-2</c:v>
                </c:pt>
                <c:pt idx="51">
                  <c:v>-2.4921713000000002E-2</c:v>
                </c:pt>
                <c:pt idx="52">
                  <c:v>-7.6967444999999995E-2</c:v>
                </c:pt>
                <c:pt idx="53">
                  <c:v>0.100620694</c:v>
                </c:pt>
                <c:pt idx="54">
                  <c:v>-1.0619633999999999E-2</c:v>
                </c:pt>
                <c:pt idx="55">
                  <c:v>3.099938E-2</c:v>
                </c:pt>
                <c:pt idx="56">
                  <c:v>6.1901070000000002E-3</c:v>
                </c:pt>
                <c:pt idx="57">
                  <c:v>-4.6439623999999999E-2</c:v>
                </c:pt>
                <c:pt idx="58">
                  <c:v>-3.439788E-3</c:v>
                </c:pt>
                <c:pt idx="59">
                  <c:v>2.1205696999999999E-2</c:v>
                </c:pt>
                <c:pt idx="60">
                  <c:v>-7.3525699999999999E-2</c:v>
                </c:pt>
                <c:pt idx="61">
                  <c:v>-8.0728129999999999E-3</c:v>
                </c:pt>
                <c:pt idx="62">
                  <c:v>1.5165339999999999E-2</c:v>
                </c:pt>
                <c:pt idx="63">
                  <c:v>-5.7318925E-2</c:v>
                </c:pt>
                <c:pt idx="64">
                  <c:v>4.3782356000000001E-2</c:v>
                </c:pt>
                <c:pt idx="65">
                  <c:v>1.4993319E-2</c:v>
                </c:pt>
                <c:pt idx="66">
                  <c:v>1.9388862E-2</c:v>
                </c:pt>
                <c:pt idx="67">
                  <c:v>-2.5179175000000002E-2</c:v>
                </c:pt>
                <c:pt idx="68">
                  <c:v>-7.1334019999999996E-3</c:v>
                </c:pt>
                <c:pt idx="69">
                  <c:v>1.7966551000000001E-2</c:v>
                </c:pt>
                <c:pt idx="70">
                  <c:v>8.1771550000000002E-3</c:v>
                </c:pt>
                <c:pt idx="71">
                  <c:v>-2.1635353E-2</c:v>
                </c:pt>
                <c:pt idx="72">
                  <c:v>-1.5977304000000001E-2</c:v>
                </c:pt>
                <c:pt idx="73">
                  <c:v>-1.4532623999999999E-2</c:v>
                </c:pt>
                <c:pt idx="74">
                  <c:v>1.5006205999999999E-2</c:v>
                </c:pt>
                <c:pt idx="75">
                  <c:v>1.2652948000000001E-2</c:v>
                </c:pt>
                <c:pt idx="76">
                  <c:v>1.5163322999999999E-2</c:v>
                </c:pt>
                <c:pt idx="77">
                  <c:v>1.7462518999999999E-2</c:v>
                </c:pt>
                <c:pt idx="78">
                  <c:v>7.567692E-3</c:v>
                </c:pt>
                <c:pt idx="79">
                  <c:v>5.8783070000000002E-3</c:v>
                </c:pt>
                <c:pt idx="80">
                  <c:v>1.079917E-2</c:v>
                </c:pt>
                <c:pt idx="81">
                  <c:v>6.8365769999999999E-3</c:v>
                </c:pt>
                <c:pt idx="82">
                  <c:v>8.1935859999999992E-3</c:v>
                </c:pt>
                <c:pt idx="83">
                  <c:v>-1.1254900999999999E-2</c:v>
                </c:pt>
                <c:pt idx="84">
                  <c:v>-2.2131100000000001E-2</c:v>
                </c:pt>
                <c:pt idx="85">
                  <c:v>-8.0241830000000007E-3</c:v>
                </c:pt>
                <c:pt idx="86">
                  <c:v>-3.5908419999999999E-3</c:v>
                </c:pt>
                <c:pt idx="87">
                  <c:v>1.6951145000000001E-2</c:v>
                </c:pt>
                <c:pt idx="88">
                  <c:v>-2.8443062000000002E-2</c:v>
                </c:pt>
                <c:pt idx="89">
                  <c:v>-6.1949509999999998E-3</c:v>
                </c:pt>
                <c:pt idx="90">
                  <c:v>-7.6776190000000001E-3</c:v>
                </c:pt>
                <c:pt idx="91">
                  <c:v>2.6056593999999999E-2</c:v>
                </c:pt>
                <c:pt idx="92">
                  <c:v>7.3752330000000001E-3</c:v>
                </c:pt>
                <c:pt idx="93">
                  <c:v>2.2922606000000002E-2</c:v>
                </c:pt>
                <c:pt idx="94">
                  <c:v>-7.1371900000000003E-4</c:v>
                </c:pt>
                <c:pt idx="95">
                  <c:v>1.5335579E-2</c:v>
                </c:pt>
                <c:pt idx="96">
                  <c:v>-2.3665359999999998E-3</c:v>
                </c:pt>
                <c:pt idx="97">
                  <c:v>2.454421E-3</c:v>
                </c:pt>
                <c:pt idx="98">
                  <c:v>1.2557159E-2</c:v>
                </c:pt>
                <c:pt idx="99">
                  <c:v>9.6638430000000001E-3</c:v>
                </c:pt>
                <c:pt idx="100">
                  <c:v>-7.8020019999999997E-3</c:v>
                </c:pt>
                <c:pt idx="101">
                  <c:v>4.7438610000000003E-3</c:v>
                </c:pt>
                <c:pt idx="102">
                  <c:v>1.609521E-3</c:v>
                </c:pt>
                <c:pt idx="103">
                  <c:v>4.8897200000000002E-3</c:v>
                </c:pt>
                <c:pt idx="104">
                  <c:v>2.7040453999999998E-2</c:v>
                </c:pt>
                <c:pt idx="105">
                  <c:v>8.759167E-3</c:v>
                </c:pt>
                <c:pt idx="106">
                  <c:v>-6.5019730000000003E-3</c:v>
                </c:pt>
                <c:pt idx="107">
                  <c:v>2.976954E-3</c:v>
                </c:pt>
                <c:pt idx="108">
                  <c:v>1.8680978000000001E-2</c:v>
                </c:pt>
                <c:pt idx="109">
                  <c:v>2.580017E-3</c:v>
                </c:pt>
                <c:pt idx="110">
                  <c:v>5.4291909999999999E-3</c:v>
                </c:pt>
                <c:pt idx="111">
                  <c:v>-1.5301669E-2</c:v>
                </c:pt>
                <c:pt idx="112">
                  <c:v>2.2125061000000001E-2</c:v>
                </c:pt>
                <c:pt idx="113">
                  <c:v>-6.4154770000000002E-3</c:v>
                </c:pt>
                <c:pt idx="114">
                  <c:v>-8.0658840000000006E-3</c:v>
                </c:pt>
                <c:pt idx="115">
                  <c:v>-5.9189819999999997E-3</c:v>
                </c:pt>
                <c:pt idx="116">
                  <c:v>5.730527E-3</c:v>
                </c:pt>
                <c:pt idx="117">
                  <c:v>8.2076070000000004E-3</c:v>
                </c:pt>
                <c:pt idx="118">
                  <c:v>-1.7887816000000001E-2</c:v>
                </c:pt>
                <c:pt idx="119">
                  <c:v>-2.5658664000000001E-2</c:v>
                </c:pt>
                <c:pt idx="120">
                  <c:v>-3.832495E-3</c:v>
                </c:pt>
                <c:pt idx="121">
                  <c:v>6.9472309999999999E-3</c:v>
                </c:pt>
                <c:pt idx="122">
                  <c:v>6.5785360000000003E-3</c:v>
                </c:pt>
                <c:pt idx="123">
                  <c:v>2.0238128000000001E-2</c:v>
                </c:pt>
                <c:pt idx="124">
                  <c:v>-3.2736199999999999E-4</c:v>
                </c:pt>
                <c:pt idx="125">
                  <c:v>-1.2118576000000001E-2</c:v>
                </c:pt>
                <c:pt idx="126">
                  <c:v>-9.9611449999999994E-3</c:v>
                </c:pt>
                <c:pt idx="127">
                  <c:v>-3.9646400000000002E-4</c:v>
                </c:pt>
                <c:pt idx="128">
                  <c:v>-1.3976189E-2</c:v>
                </c:pt>
                <c:pt idx="129">
                  <c:v>-2.2902550000000002E-3</c:v>
                </c:pt>
                <c:pt idx="130">
                  <c:v>1.5274596999999999E-2</c:v>
                </c:pt>
                <c:pt idx="131">
                  <c:v>5.8530750000000001E-3</c:v>
                </c:pt>
                <c:pt idx="132">
                  <c:v>6.8124229999999997E-3</c:v>
                </c:pt>
                <c:pt idx="133">
                  <c:v>1.5375877E-2</c:v>
                </c:pt>
                <c:pt idx="134">
                  <c:v>9.6579519999999992E-3</c:v>
                </c:pt>
                <c:pt idx="135">
                  <c:v>6.1142590000000004E-3</c:v>
                </c:pt>
                <c:pt idx="136">
                  <c:v>5.5482960000000003E-3</c:v>
                </c:pt>
                <c:pt idx="137">
                  <c:v>-1.2223346E-2</c:v>
                </c:pt>
                <c:pt idx="138">
                  <c:v>-2.284646E-3</c:v>
                </c:pt>
                <c:pt idx="139">
                  <c:v>3.6792574000000001E-2</c:v>
                </c:pt>
                <c:pt idx="140">
                  <c:v>9.56115E-4</c:v>
                </c:pt>
                <c:pt idx="141">
                  <c:v>1.8699349000000001E-2</c:v>
                </c:pt>
                <c:pt idx="142">
                  <c:v>6.2122219999999999E-3</c:v>
                </c:pt>
                <c:pt idx="143">
                  <c:v>-6.6432399999999999E-4</c:v>
                </c:pt>
                <c:pt idx="144">
                  <c:v>6.6035809999999999E-3</c:v>
                </c:pt>
                <c:pt idx="145">
                  <c:v>3.2605500000000001E-4</c:v>
                </c:pt>
                <c:pt idx="146">
                  <c:v>1.0378034E-2</c:v>
                </c:pt>
                <c:pt idx="147">
                  <c:v>-6.8895400000000004E-3</c:v>
                </c:pt>
                <c:pt idx="148">
                  <c:v>2.3149669999999998E-3</c:v>
                </c:pt>
                <c:pt idx="149">
                  <c:v>1.2779852E-2</c:v>
                </c:pt>
                <c:pt idx="150">
                  <c:v>1.5942484E-2</c:v>
                </c:pt>
                <c:pt idx="151">
                  <c:v>1.0183485000000001E-2</c:v>
                </c:pt>
                <c:pt idx="152">
                  <c:v>8.7890529999999998E-3</c:v>
                </c:pt>
                <c:pt idx="153">
                  <c:v>-1.0596542E-2</c:v>
                </c:pt>
                <c:pt idx="154">
                  <c:v>8.2422060000000002E-3</c:v>
                </c:pt>
                <c:pt idx="155">
                  <c:v>1.1309614000000001E-2</c:v>
                </c:pt>
                <c:pt idx="156">
                  <c:v>2.7594180999999999E-2</c:v>
                </c:pt>
                <c:pt idx="157">
                  <c:v>8.8612900000000004E-4</c:v>
                </c:pt>
                <c:pt idx="158">
                  <c:v>1.96004E-4</c:v>
                </c:pt>
                <c:pt idx="159">
                  <c:v>3.7795035999999997E-2</c:v>
                </c:pt>
                <c:pt idx="160">
                  <c:v>3.7386800000000002E-4</c:v>
                </c:pt>
                <c:pt idx="161">
                  <c:v>1.5684163000000001E-2</c:v>
                </c:pt>
                <c:pt idx="162">
                  <c:v>-4.1285209999999996E-3</c:v>
                </c:pt>
                <c:pt idx="163">
                  <c:v>7.6884950000000001E-3</c:v>
                </c:pt>
                <c:pt idx="164">
                  <c:v>-8.1409800000000008E-3</c:v>
                </c:pt>
                <c:pt idx="165">
                  <c:v>-7.6958809999999999E-3</c:v>
                </c:pt>
                <c:pt idx="166">
                  <c:v>-1.1326734999999999E-2</c:v>
                </c:pt>
                <c:pt idx="167">
                  <c:v>2.2096172000000001E-2</c:v>
                </c:pt>
                <c:pt idx="168">
                  <c:v>1.7962900000000001E-3</c:v>
                </c:pt>
                <c:pt idx="169">
                  <c:v>8.5209750000000001E-3</c:v>
                </c:pt>
                <c:pt idx="170">
                  <c:v>-6.4019259999999996E-3</c:v>
                </c:pt>
                <c:pt idx="171">
                  <c:v>-4.2735495999999998E-2</c:v>
                </c:pt>
                <c:pt idx="172">
                  <c:v>1.4432573000000001E-2</c:v>
                </c:pt>
                <c:pt idx="173">
                  <c:v>-1.306691E-3</c:v>
                </c:pt>
                <c:pt idx="174">
                  <c:v>7.0394430000000003E-3</c:v>
                </c:pt>
                <c:pt idx="175">
                  <c:v>4.2670291999999999E-2</c:v>
                </c:pt>
                <c:pt idx="176">
                  <c:v>-4.3741179999999998E-3</c:v>
                </c:pt>
                <c:pt idx="177">
                  <c:v>-5.7341299999999996E-3</c:v>
                </c:pt>
                <c:pt idx="178">
                  <c:v>8.5232399999999996E-3</c:v>
                </c:pt>
                <c:pt idx="179">
                  <c:v>-1.6602556000000001E-2</c:v>
                </c:pt>
                <c:pt idx="180">
                  <c:v>-1.1877057999999999E-2</c:v>
                </c:pt>
                <c:pt idx="181">
                  <c:v>-1.7336606000000001E-2</c:v>
                </c:pt>
                <c:pt idx="182">
                  <c:v>6.3788610000000004E-3</c:v>
                </c:pt>
                <c:pt idx="183">
                  <c:v>-3.5632732E-2</c:v>
                </c:pt>
                <c:pt idx="184">
                  <c:v>-3.7541092999999998E-2</c:v>
                </c:pt>
                <c:pt idx="185">
                  <c:v>-4.48648E-4</c:v>
                </c:pt>
                <c:pt idx="186">
                  <c:v>3.5347099999999999E-3</c:v>
                </c:pt>
                <c:pt idx="187">
                  <c:v>-2.3631065E-2</c:v>
                </c:pt>
                <c:pt idx="188">
                  <c:v>-3.4779442000000001E-2</c:v>
                </c:pt>
                <c:pt idx="189">
                  <c:v>1.117932E-2</c:v>
                </c:pt>
                <c:pt idx="190">
                  <c:v>1.9146303999999999E-2</c:v>
                </c:pt>
                <c:pt idx="191">
                  <c:v>1.6953000999999999E-2</c:v>
                </c:pt>
                <c:pt idx="192">
                  <c:v>4.1029040000000001E-3</c:v>
                </c:pt>
                <c:pt idx="193">
                  <c:v>1.0356506E-2</c:v>
                </c:pt>
                <c:pt idx="194">
                  <c:v>8.157404E-3</c:v>
                </c:pt>
                <c:pt idx="195">
                  <c:v>-1.2462407999999999E-2</c:v>
                </c:pt>
                <c:pt idx="196">
                  <c:v>-3.1852930000000002E-2</c:v>
                </c:pt>
                <c:pt idx="197">
                  <c:v>-2.0089706999999998E-2</c:v>
                </c:pt>
                <c:pt idx="198">
                  <c:v>2.2188263E-2</c:v>
                </c:pt>
                <c:pt idx="199">
                  <c:v>4.6893179999999996E-3</c:v>
                </c:pt>
                <c:pt idx="200">
                  <c:v>-2.6703272E-2</c:v>
                </c:pt>
                <c:pt idx="201">
                  <c:v>-1.9641181000000001E-2</c:v>
                </c:pt>
                <c:pt idx="202">
                  <c:v>-1.6985296E-2</c:v>
                </c:pt>
                <c:pt idx="203">
                  <c:v>-1.7391671000000001E-2</c:v>
                </c:pt>
                <c:pt idx="204">
                  <c:v>1.8217236000000001E-2</c:v>
                </c:pt>
                <c:pt idx="205">
                  <c:v>1.2176661E-2</c:v>
                </c:pt>
                <c:pt idx="206">
                  <c:v>1.2478901000000001E-2</c:v>
                </c:pt>
                <c:pt idx="207">
                  <c:v>4.2329669999999998E-3</c:v>
                </c:pt>
                <c:pt idx="208">
                  <c:v>6.3400000000000001E-4</c:v>
                </c:pt>
                <c:pt idx="209">
                  <c:v>4.3838200000000002E-4</c:v>
                </c:pt>
                <c:pt idx="210">
                  <c:v>-5.5817740000000003E-3</c:v>
                </c:pt>
                <c:pt idx="211">
                  <c:v>8.4384979999999991E-3</c:v>
                </c:pt>
                <c:pt idx="212">
                  <c:v>-6.861097E-3</c:v>
                </c:pt>
                <c:pt idx="213">
                  <c:v>1.7515472000000001E-2</c:v>
                </c:pt>
                <c:pt idx="214">
                  <c:v>1.1047589999999999E-2</c:v>
                </c:pt>
                <c:pt idx="215">
                  <c:v>1.1780211000000001E-2</c:v>
                </c:pt>
                <c:pt idx="216">
                  <c:v>6.8502199999999997E-3</c:v>
                </c:pt>
                <c:pt idx="217">
                  <c:v>-1.8754847000000002E-2</c:v>
                </c:pt>
                <c:pt idx="218">
                  <c:v>-2.6324670000000001E-2</c:v>
                </c:pt>
                <c:pt idx="219">
                  <c:v>1.7947670000000001E-3</c:v>
                </c:pt>
                <c:pt idx="220">
                  <c:v>9.0640510000000001E-3</c:v>
                </c:pt>
                <c:pt idx="221">
                  <c:v>1.6297587999999998E-2</c:v>
                </c:pt>
                <c:pt idx="222">
                  <c:v>-4.7002279999999999E-3</c:v>
                </c:pt>
                <c:pt idx="223">
                  <c:v>-1.5367702E-2</c:v>
                </c:pt>
                <c:pt idx="224">
                  <c:v>4.5795269999999999E-3</c:v>
                </c:pt>
                <c:pt idx="225">
                  <c:v>-3.2090069999999998E-3</c:v>
                </c:pt>
                <c:pt idx="226">
                  <c:v>-3.1651659999999998E-2</c:v>
                </c:pt>
                <c:pt idx="227">
                  <c:v>-5.1083300000000003E-4</c:v>
                </c:pt>
                <c:pt idx="228">
                  <c:v>-7.4262540000000002E-3</c:v>
                </c:pt>
                <c:pt idx="229">
                  <c:v>4.6386450000000003E-3</c:v>
                </c:pt>
                <c:pt idx="230">
                  <c:v>5.404402E-3</c:v>
                </c:pt>
                <c:pt idx="231">
                  <c:v>-1.4976415E-2</c:v>
                </c:pt>
                <c:pt idx="232">
                  <c:v>-3.8598965999999998E-2</c:v>
                </c:pt>
                <c:pt idx="233">
                  <c:v>-8.8830330000000002E-3</c:v>
                </c:pt>
                <c:pt idx="234">
                  <c:v>3.5256817000000003E-2</c:v>
                </c:pt>
                <c:pt idx="235">
                  <c:v>1.4238624E-2</c:v>
                </c:pt>
                <c:pt idx="236">
                  <c:v>-2.7850188000000001E-2</c:v>
                </c:pt>
                <c:pt idx="237">
                  <c:v>1.3959226999999999E-2</c:v>
                </c:pt>
                <c:pt idx="238">
                  <c:v>8.5528879999999998E-3</c:v>
                </c:pt>
                <c:pt idx="239">
                  <c:v>6.8857060000000001E-3</c:v>
                </c:pt>
                <c:pt idx="240">
                  <c:v>-3.25487E-3</c:v>
                </c:pt>
                <c:pt idx="241">
                  <c:v>-2.4920602E-2</c:v>
                </c:pt>
                <c:pt idx="242">
                  <c:v>6.4182199999999997E-3</c:v>
                </c:pt>
                <c:pt idx="243">
                  <c:v>4.0451400000000002E-4</c:v>
                </c:pt>
                <c:pt idx="244">
                  <c:v>8.9272199999999998E-4</c:v>
                </c:pt>
                <c:pt idx="245">
                  <c:v>1.3399898E-2</c:v>
                </c:pt>
                <c:pt idx="246">
                  <c:v>1.5977202999999999E-2</c:v>
                </c:pt>
                <c:pt idx="247">
                  <c:v>-1.652602E-3</c:v>
                </c:pt>
                <c:pt idx="248">
                  <c:v>-1.3705988000000001E-2</c:v>
                </c:pt>
                <c:pt idx="249">
                  <c:v>-1.944185E-2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prueba!$O$2</c:f>
              <c:strCache>
                <c:ptCount val="1"/>
                <c:pt idx="0">
                  <c:v>elastic net</c:v>
                </c:pt>
              </c:strCache>
            </c:strRef>
          </c:tx>
          <c:marker>
            <c:symbol val="none"/>
          </c:marker>
          <c:cat>
            <c:numRef>
              <c:f>prueba!$A$3:$A$252</c:f>
              <c:numCache>
                <c:formatCode>[$-409]d\-mmm\-yy;@</c:formatCode>
                <c:ptCount val="250"/>
                <c:pt idx="0">
                  <c:v>40232</c:v>
                </c:pt>
                <c:pt idx="1">
                  <c:v>40233</c:v>
                </c:pt>
                <c:pt idx="2">
                  <c:v>40234</c:v>
                </c:pt>
                <c:pt idx="3">
                  <c:v>40235</c:v>
                </c:pt>
                <c:pt idx="4">
                  <c:v>40238</c:v>
                </c:pt>
                <c:pt idx="5">
                  <c:v>40239</c:v>
                </c:pt>
                <c:pt idx="6">
                  <c:v>40240</c:v>
                </c:pt>
                <c:pt idx="7">
                  <c:v>40241</c:v>
                </c:pt>
                <c:pt idx="8">
                  <c:v>40242</c:v>
                </c:pt>
                <c:pt idx="9">
                  <c:v>40245</c:v>
                </c:pt>
                <c:pt idx="10">
                  <c:v>40246</c:v>
                </c:pt>
                <c:pt idx="11">
                  <c:v>40247</c:v>
                </c:pt>
                <c:pt idx="12">
                  <c:v>40248</c:v>
                </c:pt>
                <c:pt idx="13">
                  <c:v>40249</c:v>
                </c:pt>
                <c:pt idx="14">
                  <c:v>40252</c:v>
                </c:pt>
                <c:pt idx="15">
                  <c:v>40253</c:v>
                </c:pt>
                <c:pt idx="16">
                  <c:v>40254</c:v>
                </c:pt>
                <c:pt idx="17">
                  <c:v>40255</c:v>
                </c:pt>
                <c:pt idx="18">
                  <c:v>40256</c:v>
                </c:pt>
                <c:pt idx="19">
                  <c:v>40259</c:v>
                </c:pt>
                <c:pt idx="20">
                  <c:v>40260</c:v>
                </c:pt>
                <c:pt idx="21">
                  <c:v>40261</c:v>
                </c:pt>
                <c:pt idx="22">
                  <c:v>40262</c:v>
                </c:pt>
                <c:pt idx="23">
                  <c:v>40263</c:v>
                </c:pt>
                <c:pt idx="24">
                  <c:v>40266</c:v>
                </c:pt>
                <c:pt idx="25">
                  <c:v>40267</c:v>
                </c:pt>
                <c:pt idx="26">
                  <c:v>40268</c:v>
                </c:pt>
                <c:pt idx="27">
                  <c:v>40269</c:v>
                </c:pt>
                <c:pt idx="28">
                  <c:v>40270</c:v>
                </c:pt>
                <c:pt idx="29">
                  <c:v>40273</c:v>
                </c:pt>
                <c:pt idx="30">
                  <c:v>40274</c:v>
                </c:pt>
                <c:pt idx="31">
                  <c:v>40275</c:v>
                </c:pt>
                <c:pt idx="32">
                  <c:v>40276</c:v>
                </c:pt>
                <c:pt idx="33">
                  <c:v>40277</c:v>
                </c:pt>
                <c:pt idx="34">
                  <c:v>40280</c:v>
                </c:pt>
                <c:pt idx="35">
                  <c:v>40281</c:v>
                </c:pt>
                <c:pt idx="36">
                  <c:v>40282</c:v>
                </c:pt>
                <c:pt idx="37">
                  <c:v>40283</c:v>
                </c:pt>
                <c:pt idx="38">
                  <c:v>40284</c:v>
                </c:pt>
                <c:pt idx="39">
                  <c:v>40287</c:v>
                </c:pt>
                <c:pt idx="40">
                  <c:v>40288</c:v>
                </c:pt>
                <c:pt idx="41">
                  <c:v>40289</c:v>
                </c:pt>
                <c:pt idx="42">
                  <c:v>40290</c:v>
                </c:pt>
                <c:pt idx="43">
                  <c:v>40294</c:v>
                </c:pt>
                <c:pt idx="44">
                  <c:v>40295</c:v>
                </c:pt>
                <c:pt idx="45">
                  <c:v>40296</c:v>
                </c:pt>
                <c:pt idx="46">
                  <c:v>40297</c:v>
                </c:pt>
                <c:pt idx="47">
                  <c:v>40298</c:v>
                </c:pt>
                <c:pt idx="48">
                  <c:v>40301</c:v>
                </c:pt>
                <c:pt idx="49">
                  <c:v>40302</c:v>
                </c:pt>
                <c:pt idx="50">
                  <c:v>40303</c:v>
                </c:pt>
                <c:pt idx="51">
                  <c:v>40304</c:v>
                </c:pt>
                <c:pt idx="52">
                  <c:v>40305</c:v>
                </c:pt>
                <c:pt idx="53">
                  <c:v>40308</c:v>
                </c:pt>
                <c:pt idx="54">
                  <c:v>40309</c:v>
                </c:pt>
                <c:pt idx="55">
                  <c:v>40310</c:v>
                </c:pt>
                <c:pt idx="56">
                  <c:v>40311</c:v>
                </c:pt>
                <c:pt idx="57">
                  <c:v>40312</c:v>
                </c:pt>
                <c:pt idx="58">
                  <c:v>40315</c:v>
                </c:pt>
                <c:pt idx="59">
                  <c:v>40316</c:v>
                </c:pt>
                <c:pt idx="60">
                  <c:v>40318</c:v>
                </c:pt>
                <c:pt idx="61">
                  <c:v>40319</c:v>
                </c:pt>
                <c:pt idx="62">
                  <c:v>40322</c:v>
                </c:pt>
                <c:pt idx="63">
                  <c:v>40323</c:v>
                </c:pt>
                <c:pt idx="64">
                  <c:v>40324</c:v>
                </c:pt>
                <c:pt idx="65">
                  <c:v>40325</c:v>
                </c:pt>
                <c:pt idx="66">
                  <c:v>40326</c:v>
                </c:pt>
                <c:pt idx="67">
                  <c:v>40329</c:v>
                </c:pt>
                <c:pt idx="68">
                  <c:v>40330</c:v>
                </c:pt>
                <c:pt idx="69">
                  <c:v>40331</c:v>
                </c:pt>
                <c:pt idx="70">
                  <c:v>40332</c:v>
                </c:pt>
                <c:pt idx="71">
                  <c:v>40333</c:v>
                </c:pt>
                <c:pt idx="72">
                  <c:v>40336</c:v>
                </c:pt>
                <c:pt idx="73">
                  <c:v>40337</c:v>
                </c:pt>
                <c:pt idx="74">
                  <c:v>40338</c:v>
                </c:pt>
                <c:pt idx="75">
                  <c:v>40339</c:v>
                </c:pt>
                <c:pt idx="76">
                  <c:v>40340</c:v>
                </c:pt>
                <c:pt idx="77">
                  <c:v>40343</c:v>
                </c:pt>
                <c:pt idx="78">
                  <c:v>40344</c:v>
                </c:pt>
                <c:pt idx="79">
                  <c:v>40345</c:v>
                </c:pt>
                <c:pt idx="80">
                  <c:v>40346</c:v>
                </c:pt>
                <c:pt idx="81">
                  <c:v>40347</c:v>
                </c:pt>
                <c:pt idx="82">
                  <c:v>40350</c:v>
                </c:pt>
                <c:pt idx="83">
                  <c:v>40351</c:v>
                </c:pt>
                <c:pt idx="84">
                  <c:v>40352</c:v>
                </c:pt>
                <c:pt idx="85">
                  <c:v>40353</c:v>
                </c:pt>
                <c:pt idx="86">
                  <c:v>40354</c:v>
                </c:pt>
                <c:pt idx="87">
                  <c:v>40357</c:v>
                </c:pt>
                <c:pt idx="88">
                  <c:v>40358</c:v>
                </c:pt>
                <c:pt idx="89">
                  <c:v>40359</c:v>
                </c:pt>
                <c:pt idx="90">
                  <c:v>40360</c:v>
                </c:pt>
                <c:pt idx="91">
                  <c:v>40361</c:v>
                </c:pt>
                <c:pt idx="92">
                  <c:v>40364</c:v>
                </c:pt>
                <c:pt idx="93">
                  <c:v>40365</c:v>
                </c:pt>
                <c:pt idx="94">
                  <c:v>40366</c:v>
                </c:pt>
                <c:pt idx="95">
                  <c:v>40367</c:v>
                </c:pt>
                <c:pt idx="96">
                  <c:v>40368</c:v>
                </c:pt>
                <c:pt idx="97">
                  <c:v>40371</c:v>
                </c:pt>
                <c:pt idx="98">
                  <c:v>40372</c:v>
                </c:pt>
                <c:pt idx="99">
                  <c:v>40373</c:v>
                </c:pt>
                <c:pt idx="100">
                  <c:v>40374</c:v>
                </c:pt>
                <c:pt idx="101">
                  <c:v>40375</c:v>
                </c:pt>
                <c:pt idx="102">
                  <c:v>40378</c:v>
                </c:pt>
                <c:pt idx="103">
                  <c:v>40379</c:v>
                </c:pt>
                <c:pt idx="104">
                  <c:v>40380</c:v>
                </c:pt>
                <c:pt idx="105">
                  <c:v>40381</c:v>
                </c:pt>
                <c:pt idx="106">
                  <c:v>40382</c:v>
                </c:pt>
                <c:pt idx="107">
                  <c:v>40385</c:v>
                </c:pt>
                <c:pt idx="108">
                  <c:v>40386</c:v>
                </c:pt>
                <c:pt idx="109">
                  <c:v>40387</c:v>
                </c:pt>
                <c:pt idx="110">
                  <c:v>40388</c:v>
                </c:pt>
                <c:pt idx="111">
                  <c:v>40389</c:v>
                </c:pt>
                <c:pt idx="112">
                  <c:v>40392</c:v>
                </c:pt>
                <c:pt idx="113">
                  <c:v>40393</c:v>
                </c:pt>
                <c:pt idx="114">
                  <c:v>40394</c:v>
                </c:pt>
                <c:pt idx="115">
                  <c:v>40395</c:v>
                </c:pt>
                <c:pt idx="116">
                  <c:v>40396</c:v>
                </c:pt>
                <c:pt idx="117">
                  <c:v>40399</c:v>
                </c:pt>
                <c:pt idx="118">
                  <c:v>40400</c:v>
                </c:pt>
                <c:pt idx="119">
                  <c:v>40401</c:v>
                </c:pt>
                <c:pt idx="120">
                  <c:v>40402</c:v>
                </c:pt>
                <c:pt idx="121">
                  <c:v>40403</c:v>
                </c:pt>
                <c:pt idx="122">
                  <c:v>40406</c:v>
                </c:pt>
                <c:pt idx="123">
                  <c:v>40407</c:v>
                </c:pt>
                <c:pt idx="124">
                  <c:v>40408</c:v>
                </c:pt>
                <c:pt idx="125">
                  <c:v>40409</c:v>
                </c:pt>
                <c:pt idx="126">
                  <c:v>40410</c:v>
                </c:pt>
                <c:pt idx="127">
                  <c:v>40413</c:v>
                </c:pt>
                <c:pt idx="128">
                  <c:v>40414</c:v>
                </c:pt>
                <c:pt idx="129">
                  <c:v>40415</c:v>
                </c:pt>
                <c:pt idx="130">
                  <c:v>40416</c:v>
                </c:pt>
                <c:pt idx="131">
                  <c:v>40417</c:v>
                </c:pt>
                <c:pt idx="132">
                  <c:v>40421</c:v>
                </c:pt>
                <c:pt idx="133">
                  <c:v>40422</c:v>
                </c:pt>
                <c:pt idx="134">
                  <c:v>40423</c:v>
                </c:pt>
                <c:pt idx="135">
                  <c:v>40424</c:v>
                </c:pt>
                <c:pt idx="136">
                  <c:v>40427</c:v>
                </c:pt>
                <c:pt idx="137">
                  <c:v>40428</c:v>
                </c:pt>
                <c:pt idx="138">
                  <c:v>40429</c:v>
                </c:pt>
                <c:pt idx="139">
                  <c:v>40434</c:v>
                </c:pt>
                <c:pt idx="140">
                  <c:v>40435</c:v>
                </c:pt>
                <c:pt idx="141">
                  <c:v>40436</c:v>
                </c:pt>
                <c:pt idx="142">
                  <c:v>40437</c:v>
                </c:pt>
                <c:pt idx="143">
                  <c:v>40438</c:v>
                </c:pt>
                <c:pt idx="144">
                  <c:v>40441</c:v>
                </c:pt>
                <c:pt idx="145">
                  <c:v>40442</c:v>
                </c:pt>
                <c:pt idx="146">
                  <c:v>40443</c:v>
                </c:pt>
                <c:pt idx="147">
                  <c:v>40444</c:v>
                </c:pt>
                <c:pt idx="148">
                  <c:v>40445</c:v>
                </c:pt>
                <c:pt idx="149">
                  <c:v>40448</c:v>
                </c:pt>
                <c:pt idx="150">
                  <c:v>40449</c:v>
                </c:pt>
                <c:pt idx="151">
                  <c:v>40450</c:v>
                </c:pt>
                <c:pt idx="152">
                  <c:v>40451</c:v>
                </c:pt>
                <c:pt idx="153">
                  <c:v>40452</c:v>
                </c:pt>
                <c:pt idx="154">
                  <c:v>40455</c:v>
                </c:pt>
                <c:pt idx="155">
                  <c:v>40456</c:v>
                </c:pt>
                <c:pt idx="156">
                  <c:v>40457</c:v>
                </c:pt>
                <c:pt idx="157">
                  <c:v>40458</c:v>
                </c:pt>
                <c:pt idx="158">
                  <c:v>40459</c:v>
                </c:pt>
                <c:pt idx="159">
                  <c:v>40462</c:v>
                </c:pt>
                <c:pt idx="160">
                  <c:v>40463</c:v>
                </c:pt>
                <c:pt idx="161">
                  <c:v>40464</c:v>
                </c:pt>
                <c:pt idx="162">
                  <c:v>40465</c:v>
                </c:pt>
                <c:pt idx="163">
                  <c:v>40466</c:v>
                </c:pt>
                <c:pt idx="164">
                  <c:v>40469</c:v>
                </c:pt>
                <c:pt idx="165">
                  <c:v>40470</c:v>
                </c:pt>
                <c:pt idx="166">
                  <c:v>40471</c:v>
                </c:pt>
                <c:pt idx="167">
                  <c:v>40472</c:v>
                </c:pt>
                <c:pt idx="168">
                  <c:v>40473</c:v>
                </c:pt>
                <c:pt idx="169">
                  <c:v>40476</c:v>
                </c:pt>
                <c:pt idx="170">
                  <c:v>40477</c:v>
                </c:pt>
                <c:pt idx="171">
                  <c:v>40478</c:v>
                </c:pt>
                <c:pt idx="172">
                  <c:v>40483</c:v>
                </c:pt>
                <c:pt idx="173">
                  <c:v>40484</c:v>
                </c:pt>
                <c:pt idx="174">
                  <c:v>40485</c:v>
                </c:pt>
                <c:pt idx="175">
                  <c:v>40486</c:v>
                </c:pt>
                <c:pt idx="176">
                  <c:v>40487</c:v>
                </c:pt>
                <c:pt idx="177">
                  <c:v>40490</c:v>
                </c:pt>
                <c:pt idx="178">
                  <c:v>40491</c:v>
                </c:pt>
                <c:pt idx="179">
                  <c:v>40492</c:v>
                </c:pt>
                <c:pt idx="180">
                  <c:v>40493</c:v>
                </c:pt>
                <c:pt idx="181">
                  <c:v>40494</c:v>
                </c:pt>
                <c:pt idx="182">
                  <c:v>40497</c:v>
                </c:pt>
                <c:pt idx="183">
                  <c:v>40504</c:v>
                </c:pt>
                <c:pt idx="184">
                  <c:v>40505</c:v>
                </c:pt>
                <c:pt idx="185">
                  <c:v>40506</c:v>
                </c:pt>
                <c:pt idx="186">
                  <c:v>40507</c:v>
                </c:pt>
                <c:pt idx="187">
                  <c:v>40508</c:v>
                </c:pt>
                <c:pt idx="188">
                  <c:v>40511</c:v>
                </c:pt>
                <c:pt idx="189">
                  <c:v>40512</c:v>
                </c:pt>
                <c:pt idx="190">
                  <c:v>40513</c:v>
                </c:pt>
                <c:pt idx="191">
                  <c:v>40514</c:v>
                </c:pt>
                <c:pt idx="192">
                  <c:v>40515</c:v>
                </c:pt>
                <c:pt idx="193">
                  <c:v>40518</c:v>
                </c:pt>
                <c:pt idx="194">
                  <c:v>40519</c:v>
                </c:pt>
                <c:pt idx="195">
                  <c:v>40520</c:v>
                </c:pt>
                <c:pt idx="196">
                  <c:v>40521</c:v>
                </c:pt>
                <c:pt idx="197">
                  <c:v>40522</c:v>
                </c:pt>
                <c:pt idx="198">
                  <c:v>40525</c:v>
                </c:pt>
                <c:pt idx="199">
                  <c:v>40526</c:v>
                </c:pt>
                <c:pt idx="200">
                  <c:v>40527</c:v>
                </c:pt>
                <c:pt idx="201">
                  <c:v>40528</c:v>
                </c:pt>
                <c:pt idx="202">
                  <c:v>40529</c:v>
                </c:pt>
                <c:pt idx="203">
                  <c:v>40532</c:v>
                </c:pt>
                <c:pt idx="204">
                  <c:v>40533</c:v>
                </c:pt>
                <c:pt idx="205">
                  <c:v>40534</c:v>
                </c:pt>
                <c:pt idx="206">
                  <c:v>40535</c:v>
                </c:pt>
                <c:pt idx="207">
                  <c:v>40536</c:v>
                </c:pt>
                <c:pt idx="208">
                  <c:v>40539</c:v>
                </c:pt>
                <c:pt idx="209">
                  <c:v>40540</c:v>
                </c:pt>
                <c:pt idx="210">
                  <c:v>40541</c:v>
                </c:pt>
                <c:pt idx="211">
                  <c:v>40542</c:v>
                </c:pt>
                <c:pt idx="212">
                  <c:v>40543</c:v>
                </c:pt>
                <c:pt idx="213">
                  <c:v>40546</c:v>
                </c:pt>
                <c:pt idx="214">
                  <c:v>40547</c:v>
                </c:pt>
                <c:pt idx="215">
                  <c:v>40548</c:v>
                </c:pt>
                <c:pt idx="216">
                  <c:v>40549</c:v>
                </c:pt>
                <c:pt idx="217">
                  <c:v>40550</c:v>
                </c:pt>
                <c:pt idx="218">
                  <c:v>40553</c:v>
                </c:pt>
                <c:pt idx="219">
                  <c:v>40554</c:v>
                </c:pt>
                <c:pt idx="220">
                  <c:v>40555</c:v>
                </c:pt>
                <c:pt idx="221">
                  <c:v>40556</c:v>
                </c:pt>
                <c:pt idx="222">
                  <c:v>40557</c:v>
                </c:pt>
                <c:pt idx="223">
                  <c:v>40560</c:v>
                </c:pt>
                <c:pt idx="224">
                  <c:v>40561</c:v>
                </c:pt>
                <c:pt idx="225">
                  <c:v>40562</c:v>
                </c:pt>
                <c:pt idx="226">
                  <c:v>40563</c:v>
                </c:pt>
                <c:pt idx="227">
                  <c:v>40564</c:v>
                </c:pt>
                <c:pt idx="228">
                  <c:v>40567</c:v>
                </c:pt>
                <c:pt idx="229">
                  <c:v>40568</c:v>
                </c:pt>
                <c:pt idx="230">
                  <c:v>40569</c:v>
                </c:pt>
                <c:pt idx="231">
                  <c:v>40570</c:v>
                </c:pt>
                <c:pt idx="232">
                  <c:v>40571</c:v>
                </c:pt>
                <c:pt idx="233">
                  <c:v>40574</c:v>
                </c:pt>
                <c:pt idx="234">
                  <c:v>40575</c:v>
                </c:pt>
                <c:pt idx="235">
                  <c:v>40576</c:v>
                </c:pt>
                <c:pt idx="236">
                  <c:v>40577</c:v>
                </c:pt>
                <c:pt idx="237">
                  <c:v>40578</c:v>
                </c:pt>
                <c:pt idx="238">
                  <c:v>40581</c:v>
                </c:pt>
                <c:pt idx="239">
                  <c:v>40582</c:v>
                </c:pt>
                <c:pt idx="240">
                  <c:v>40583</c:v>
                </c:pt>
                <c:pt idx="241">
                  <c:v>40584</c:v>
                </c:pt>
                <c:pt idx="242">
                  <c:v>40585</c:v>
                </c:pt>
                <c:pt idx="243">
                  <c:v>40588</c:v>
                </c:pt>
                <c:pt idx="244">
                  <c:v>40589</c:v>
                </c:pt>
                <c:pt idx="245">
                  <c:v>40590</c:v>
                </c:pt>
                <c:pt idx="246">
                  <c:v>40591</c:v>
                </c:pt>
                <c:pt idx="247">
                  <c:v>40592</c:v>
                </c:pt>
                <c:pt idx="248">
                  <c:v>40595</c:v>
                </c:pt>
                <c:pt idx="249">
                  <c:v>40596</c:v>
                </c:pt>
              </c:numCache>
            </c:numRef>
          </c:cat>
          <c:val>
            <c:numRef>
              <c:f>prueba!$O$3:$O$252</c:f>
              <c:numCache>
                <c:formatCode>General</c:formatCode>
                <c:ptCount val="250"/>
                <c:pt idx="0">
                  <c:v>-7.8149199927534264E-3</c:v>
                </c:pt>
                <c:pt idx="1">
                  <c:v>-1.3972045515370289E-3</c:v>
                </c:pt>
                <c:pt idx="2">
                  <c:v>-1.1039241927729978E-2</c:v>
                </c:pt>
                <c:pt idx="3">
                  <c:v>1.2478191198031143E-2</c:v>
                </c:pt>
                <c:pt idx="4">
                  <c:v>1.585590522582539E-2</c:v>
                </c:pt>
                <c:pt idx="5">
                  <c:v>1.2258950670193853E-2</c:v>
                </c:pt>
                <c:pt idx="6">
                  <c:v>7.9307584883942326E-3</c:v>
                </c:pt>
                <c:pt idx="7">
                  <c:v>-2.9279349684632203E-3</c:v>
                </c:pt>
                <c:pt idx="8">
                  <c:v>1.8948535650344114E-2</c:v>
                </c:pt>
                <c:pt idx="9">
                  <c:v>9.4957324776265492E-3</c:v>
                </c:pt>
                <c:pt idx="10">
                  <c:v>1.9636273754977101E-3</c:v>
                </c:pt>
                <c:pt idx="11">
                  <c:v>7.2770302063104404E-3</c:v>
                </c:pt>
                <c:pt idx="12">
                  <c:v>1.0461754039929974E-3</c:v>
                </c:pt>
                <c:pt idx="13">
                  <c:v>4.0883086243612152E-3</c:v>
                </c:pt>
                <c:pt idx="14">
                  <c:v>-5.0405524601393106E-3</c:v>
                </c:pt>
                <c:pt idx="15">
                  <c:v>8.8093419095157492E-3</c:v>
                </c:pt>
                <c:pt idx="16">
                  <c:v>1.2146803526370879E-2</c:v>
                </c:pt>
                <c:pt idx="17">
                  <c:v>-1.7339902489013363E-3</c:v>
                </c:pt>
                <c:pt idx="18">
                  <c:v>6.6317572635199548E-4</c:v>
                </c:pt>
                <c:pt idx="19">
                  <c:v>-1.6377950357284378E-3</c:v>
                </c:pt>
                <c:pt idx="20">
                  <c:v>5.8818194850203519E-3</c:v>
                </c:pt>
                <c:pt idx="21">
                  <c:v>2.3556943674866047E-3</c:v>
                </c:pt>
                <c:pt idx="22">
                  <c:v>8.0148864577572424E-3</c:v>
                </c:pt>
                <c:pt idx="23">
                  <c:v>4.3588471551272547E-3</c:v>
                </c:pt>
                <c:pt idx="24">
                  <c:v>5.982934547631138E-3</c:v>
                </c:pt>
                <c:pt idx="25">
                  <c:v>2.3095181914317593E-3</c:v>
                </c:pt>
                <c:pt idx="26">
                  <c:v>9.6092066875955596E-4</c:v>
                </c:pt>
                <c:pt idx="27">
                  <c:v>1.675099886485569E-2</c:v>
                </c:pt>
                <c:pt idx="28">
                  <c:v>4.1111665715038125E-3</c:v>
                </c:pt>
                <c:pt idx="29">
                  <c:v>3.9893804570903246E-3</c:v>
                </c:pt>
                <c:pt idx="30">
                  <c:v>3.3054162390308383E-3</c:v>
                </c:pt>
                <c:pt idx="31">
                  <c:v>-4.0725313441945278E-5</c:v>
                </c:pt>
                <c:pt idx="32">
                  <c:v>-6.7532120885073739E-3</c:v>
                </c:pt>
                <c:pt idx="33">
                  <c:v>1.097557066937028E-2</c:v>
                </c:pt>
                <c:pt idx="34">
                  <c:v>1.1584229267673403E-3</c:v>
                </c:pt>
                <c:pt idx="35">
                  <c:v>-3.3133705727652505E-3</c:v>
                </c:pt>
                <c:pt idx="36">
                  <c:v>9.55176528973368E-3</c:v>
                </c:pt>
                <c:pt idx="37">
                  <c:v>4.6125098050433227E-3</c:v>
                </c:pt>
                <c:pt idx="38">
                  <c:v>-1.6588782883986311E-2</c:v>
                </c:pt>
                <c:pt idx="39">
                  <c:v>-9.7048197543938911E-3</c:v>
                </c:pt>
                <c:pt idx="40">
                  <c:v>1.2485144033452132E-2</c:v>
                </c:pt>
                <c:pt idx="41">
                  <c:v>1.1292280249820853E-3</c:v>
                </c:pt>
                <c:pt idx="42">
                  <c:v>-8.5916175939803052E-3</c:v>
                </c:pt>
                <c:pt idx="43">
                  <c:v>1.967597670476787E-2</c:v>
                </c:pt>
                <c:pt idx="44">
                  <c:v>-2.0097753535602669E-2</c:v>
                </c:pt>
                <c:pt idx="45">
                  <c:v>-1.2467990880467458E-2</c:v>
                </c:pt>
                <c:pt idx="46">
                  <c:v>1.1744650888661501E-2</c:v>
                </c:pt>
                <c:pt idx="47">
                  <c:v>-1.772604387238172E-3</c:v>
                </c:pt>
                <c:pt idx="48">
                  <c:v>-9.7933429920639154E-3</c:v>
                </c:pt>
                <c:pt idx="49">
                  <c:v>-1.754066340015208E-2</c:v>
                </c:pt>
                <c:pt idx="50">
                  <c:v>-1.0519927086993322E-2</c:v>
                </c:pt>
                <c:pt idx="51">
                  <c:v>-1.4164434108454549E-2</c:v>
                </c:pt>
                <c:pt idx="52">
                  <c:v>-2.9712566013560086E-2</c:v>
                </c:pt>
                <c:pt idx="53">
                  <c:v>5.0394479213291411E-2</c:v>
                </c:pt>
                <c:pt idx="54">
                  <c:v>-6.2554642901386202E-3</c:v>
                </c:pt>
                <c:pt idx="55">
                  <c:v>1.3716758501069832E-2</c:v>
                </c:pt>
                <c:pt idx="56">
                  <c:v>1.11216243390101E-2</c:v>
                </c:pt>
                <c:pt idx="57">
                  <c:v>-2.6302485331916554E-2</c:v>
                </c:pt>
                <c:pt idx="58">
                  <c:v>-7.8585211035416339E-3</c:v>
                </c:pt>
                <c:pt idx="59">
                  <c:v>6.5020589068531852E-3</c:v>
                </c:pt>
                <c:pt idx="60">
                  <c:v>-4.6390895116355427E-2</c:v>
                </c:pt>
                <c:pt idx="61">
                  <c:v>-3.469550003465295E-3</c:v>
                </c:pt>
                <c:pt idx="62">
                  <c:v>6.6818693293150579E-4</c:v>
                </c:pt>
                <c:pt idx="63">
                  <c:v>-2.9467727309799158E-2</c:v>
                </c:pt>
                <c:pt idx="64">
                  <c:v>2.0664801865131293E-2</c:v>
                </c:pt>
                <c:pt idx="65">
                  <c:v>3.016558202162252E-2</c:v>
                </c:pt>
                <c:pt idx="66">
                  <c:v>5.5587139153185144E-3</c:v>
                </c:pt>
                <c:pt idx="67">
                  <c:v>4.3693995585289882E-3</c:v>
                </c:pt>
                <c:pt idx="68">
                  <c:v>-5.7737999319601016E-3</c:v>
                </c:pt>
                <c:pt idx="69">
                  <c:v>2.2388991180767193E-3</c:v>
                </c:pt>
                <c:pt idx="70">
                  <c:v>1.9020161563522112E-2</c:v>
                </c:pt>
                <c:pt idx="71">
                  <c:v>-1.4843221747559119E-2</c:v>
                </c:pt>
                <c:pt idx="72">
                  <c:v>-1.8372806541861825E-2</c:v>
                </c:pt>
                <c:pt idx="73">
                  <c:v>-1.2962536448571976E-3</c:v>
                </c:pt>
                <c:pt idx="74">
                  <c:v>8.5505198330962946E-3</c:v>
                </c:pt>
                <c:pt idx="75">
                  <c:v>1.6868988098383175E-2</c:v>
                </c:pt>
                <c:pt idx="76">
                  <c:v>1.0746156603655089E-2</c:v>
                </c:pt>
                <c:pt idx="77">
                  <c:v>1.4046134697239898E-2</c:v>
                </c:pt>
                <c:pt idx="78">
                  <c:v>9.5884612912762596E-3</c:v>
                </c:pt>
                <c:pt idx="79">
                  <c:v>7.5800003368678018E-3</c:v>
                </c:pt>
                <c:pt idx="80">
                  <c:v>3.0591219365545654E-3</c:v>
                </c:pt>
                <c:pt idx="81">
                  <c:v>2.4252458185040886E-3</c:v>
                </c:pt>
                <c:pt idx="82">
                  <c:v>1.8349939990282157E-2</c:v>
                </c:pt>
                <c:pt idx="83">
                  <c:v>-8.8104118998927686E-3</c:v>
                </c:pt>
                <c:pt idx="84">
                  <c:v>-1.0319416355721259E-2</c:v>
                </c:pt>
                <c:pt idx="85">
                  <c:v>-1.1532143075230651E-2</c:v>
                </c:pt>
                <c:pt idx="86">
                  <c:v>-7.8129584795146485E-3</c:v>
                </c:pt>
                <c:pt idx="87">
                  <c:v>6.0098919712669981E-3</c:v>
                </c:pt>
                <c:pt idx="88">
                  <c:v>-3.0758688123174463E-2</c:v>
                </c:pt>
                <c:pt idx="89">
                  <c:v>-5.0500541494199998E-3</c:v>
                </c:pt>
                <c:pt idx="90">
                  <c:v>-1.7498686547503063E-2</c:v>
                </c:pt>
                <c:pt idx="91">
                  <c:v>2.6351323981737779E-3</c:v>
                </c:pt>
                <c:pt idx="92">
                  <c:v>8.5672747437479991E-4</c:v>
                </c:pt>
                <c:pt idx="93">
                  <c:v>2.3293126403449632E-2</c:v>
                </c:pt>
                <c:pt idx="94">
                  <c:v>9.1446624781635448E-3</c:v>
                </c:pt>
                <c:pt idx="95">
                  <c:v>1.7248073426264228E-2</c:v>
                </c:pt>
                <c:pt idx="96">
                  <c:v>9.1180916356150936E-3</c:v>
                </c:pt>
                <c:pt idx="97">
                  <c:v>3.7461885634528019E-3</c:v>
                </c:pt>
                <c:pt idx="98">
                  <c:v>1.4708868170650003E-2</c:v>
                </c:pt>
                <c:pt idx="99">
                  <c:v>8.1956776714363667E-3</c:v>
                </c:pt>
                <c:pt idx="100">
                  <c:v>-7.7471430420558334E-3</c:v>
                </c:pt>
                <c:pt idx="101">
                  <c:v>-1.775956167423055E-2</c:v>
                </c:pt>
                <c:pt idx="102">
                  <c:v>-2.3612889781020269E-3</c:v>
                </c:pt>
                <c:pt idx="103">
                  <c:v>2.7432215361484474E-3</c:v>
                </c:pt>
                <c:pt idx="104">
                  <c:v>8.275130456840623E-3</c:v>
                </c:pt>
                <c:pt idx="105">
                  <c:v>1.6794963599058511E-2</c:v>
                </c:pt>
                <c:pt idx="106">
                  <c:v>1.0300973455601985E-2</c:v>
                </c:pt>
                <c:pt idx="107">
                  <c:v>8.0980307573206012E-3</c:v>
                </c:pt>
                <c:pt idx="108">
                  <c:v>4.0675825616242681E-3</c:v>
                </c:pt>
                <c:pt idx="109">
                  <c:v>3.4638261754090923E-3</c:v>
                </c:pt>
                <c:pt idx="110">
                  <c:v>-1.8151706825110666E-3</c:v>
                </c:pt>
                <c:pt idx="111">
                  <c:v>-5.6222543760234998E-3</c:v>
                </c:pt>
                <c:pt idx="112">
                  <c:v>2.3716455647636064E-2</c:v>
                </c:pt>
                <c:pt idx="113">
                  <c:v>3.2764489730861277E-3</c:v>
                </c:pt>
                <c:pt idx="114">
                  <c:v>-1.2687259858706384E-3</c:v>
                </c:pt>
                <c:pt idx="115">
                  <c:v>3.6841653393660601E-3</c:v>
                </c:pt>
                <c:pt idx="116">
                  <c:v>-5.3651183100968391E-3</c:v>
                </c:pt>
                <c:pt idx="117">
                  <c:v>9.6387682443643888E-3</c:v>
                </c:pt>
                <c:pt idx="118">
                  <c:v>-7.889896402311072E-3</c:v>
                </c:pt>
                <c:pt idx="119">
                  <c:v>-2.5112118793277651E-2</c:v>
                </c:pt>
                <c:pt idx="120">
                  <c:v>-2.5349163080321197E-3</c:v>
                </c:pt>
                <c:pt idx="121">
                  <c:v>3.231201189047443E-3</c:v>
                </c:pt>
                <c:pt idx="122">
                  <c:v>1.2902780443637728E-3</c:v>
                </c:pt>
                <c:pt idx="123">
                  <c:v>1.176334054607518E-2</c:v>
                </c:pt>
                <c:pt idx="124">
                  <c:v>3.7972481027572858E-4</c:v>
                </c:pt>
                <c:pt idx="125">
                  <c:v>-6.743980585820126E-3</c:v>
                </c:pt>
                <c:pt idx="126">
                  <c:v>-8.8008399910140742E-3</c:v>
                </c:pt>
                <c:pt idx="127">
                  <c:v>1.698240637331178E-3</c:v>
                </c:pt>
                <c:pt idx="128">
                  <c:v>-1.4277499361564312E-2</c:v>
                </c:pt>
                <c:pt idx="129">
                  <c:v>-9.9919923662038883E-3</c:v>
                </c:pt>
                <c:pt idx="130">
                  <c:v>5.5456456896603818E-3</c:v>
                </c:pt>
                <c:pt idx="131">
                  <c:v>1.1186915479484295E-2</c:v>
                </c:pt>
                <c:pt idx="132">
                  <c:v>-2.8964955457748964E-3</c:v>
                </c:pt>
                <c:pt idx="133">
                  <c:v>2.7182299691382021E-2</c:v>
                </c:pt>
                <c:pt idx="134">
                  <c:v>6.7451678425725237E-3</c:v>
                </c:pt>
                <c:pt idx="135">
                  <c:v>1.0690839557901744E-2</c:v>
                </c:pt>
                <c:pt idx="136">
                  <c:v>8.9321480870855272E-3</c:v>
                </c:pt>
                <c:pt idx="137">
                  <c:v>-4.8071732143486279E-3</c:v>
                </c:pt>
                <c:pt idx="138">
                  <c:v>-4.416833425486997E-4</c:v>
                </c:pt>
                <c:pt idx="139">
                  <c:v>2.9298933859770362E-2</c:v>
                </c:pt>
                <c:pt idx="140">
                  <c:v>1.4560119033386492E-3</c:v>
                </c:pt>
                <c:pt idx="141">
                  <c:v>6.1667251564757634E-3</c:v>
                </c:pt>
                <c:pt idx="142">
                  <c:v>-2.1726391006589556E-3</c:v>
                </c:pt>
                <c:pt idx="143">
                  <c:v>1.7398040470489231E-3</c:v>
                </c:pt>
                <c:pt idx="144">
                  <c:v>1.3106801920747171E-2</c:v>
                </c:pt>
                <c:pt idx="145">
                  <c:v>-4.2454148547504109E-4</c:v>
                </c:pt>
                <c:pt idx="146">
                  <c:v>-4.4221229760083147E-3</c:v>
                </c:pt>
                <c:pt idx="147">
                  <c:v>-3.066747753322773E-3</c:v>
                </c:pt>
                <c:pt idx="148">
                  <c:v>1.1355872380269248E-2</c:v>
                </c:pt>
                <c:pt idx="149">
                  <c:v>3.583808539738169E-3</c:v>
                </c:pt>
                <c:pt idx="150">
                  <c:v>-7.2123215267611853E-4</c:v>
                </c:pt>
                <c:pt idx="151">
                  <c:v>2.8124127880225338E-3</c:v>
                </c:pt>
                <c:pt idx="152">
                  <c:v>-3.1657702541618262E-3</c:v>
                </c:pt>
                <c:pt idx="153">
                  <c:v>5.1003820343257424E-3</c:v>
                </c:pt>
                <c:pt idx="154">
                  <c:v>-3.1839678349234483E-3</c:v>
                </c:pt>
                <c:pt idx="155">
                  <c:v>1.5618104911230904E-2</c:v>
                </c:pt>
                <c:pt idx="156">
                  <c:v>1.1282792450708885E-2</c:v>
                </c:pt>
                <c:pt idx="157">
                  <c:v>-1.1569188403646078E-3</c:v>
                </c:pt>
                <c:pt idx="158">
                  <c:v>5.1537777515832926E-4</c:v>
                </c:pt>
                <c:pt idx="159">
                  <c:v>-5.5127728683847721E-5</c:v>
                </c:pt>
                <c:pt idx="160">
                  <c:v>-7.4692358811952989E-4</c:v>
                </c:pt>
                <c:pt idx="161">
                  <c:v>1.6572980619577082E-2</c:v>
                </c:pt>
                <c:pt idx="162">
                  <c:v>6.3202299860560538E-3</c:v>
                </c:pt>
                <c:pt idx="163">
                  <c:v>-1.0535187160249113E-3</c:v>
                </c:pt>
                <c:pt idx="164">
                  <c:v>2.6118986364962169E-3</c:v>
                </c:pt>
                <c:pt idx="165">
                  <c:v>-4.2134079819353002E-3</c:v>
                </c:pt>
                <c:pt idx="166">
                  <c:v>1.6886009591523712E-3</c:v>
                </c:pt>
                <c:pt idx="167">
                  <c:v>8.3516947571652678E-3</c:v>
                </c:pt>
                <c:pt idx="168">
                  <c:v>1.5393507792806052E-3</c:v>
                </c:pt>
                <c:pt idx="169">
                  <c:v>5.3287064971020469E-3</c:v>
                </c:pt>
                <c:pt idx="170">
                  <c:v>-1.2134298094611552E-3</c:v>
                </c:pt>
                <c:pt idx="171">
                  <c:v>-6.9727989043492566E-3</c:v>
                </c:pt>
                <c:pt idx="172">
                  <c:v>5.0361182743532476E-3</c:v>
                </c:pt>
                <c:pt idx="173">
                  <c:v>7.2119732433138994E-3</c:v>
                </c:pt>
                <c:pt idx="174">
                  <c:v>5.6937388340675263E-3</c:v>
                </c:pt>
                <c:pt idx="175">
                  <c:v>1.6910102333023327E-2</c:v>
                </c:pt>
                <c:pt idx="176">
                  <c:v>9.4800433798291478E-3</c:v>
                </c:pt>
                <c:pt idx="177">
                  <c:v>3.4216999867944468E-3</c:v>
                </c:pt>
                <c:pt idx="178">
                  <c:v>2.3162154891122385E-3</c:v>
                </c:pt>
                <c:pt idx="179">
                  <c:v>-2.0777235971980966E-3</c:v>
                </c:pt>
                <c:pt idx="180">
                  <c:v>-1.8396289253331344E-3</c:v>
                </c:pt>
                <c:pt idx="181">
                  <c:v>-7.3017582641822778E-3</c:v>
                </c:pt>
                <c:pt idx="182">
                  <c:v>6.6296845825757266E-3</c:v>
                </c:pt>
                <c:pt idx="183">
                  <c:v>7.6011180567971029E-4</c:v>
                </c:pt>
                <c:pt idx="184">
                  <c:v>-1.774042976267258E-2</c:v>
                </c:pt>
                <c:pt idx="185">
                  <c:v>1.2498485594905741E-2</c:v>
                </c:pt>
                <c:pt idx="186">
                  <c:v>5.9154409126072911E-3</c:v>
                </c:pt>
                <c:pt idx="187">
                  <c:v>-5.8628642754183242E-3</c:v>
                </c:pt>
                <c:pt idx="188">
                  <c:v>-8.8105305745107467E-3</c:v>
                </c:pt>
                <c:pt idx="189">
                  <c:v>-6.8781865451907507E-3</c:v>
                </c:pt>
                <c:pt idx="190">
                  <c:v>2.3139052759813667E-2</c:v>
                </c:pt>
                <c:pt idx="191">
                  <c:v>2.041443269877169E-2</c:v>
                </c:pt>
                <c:pt idx="192">
                  <c:v>1.4694325705098123E-3</c:v>
                </c:pt>
                <c:pt idx="193">
                  <c:v>2.8960575368554347E-3</c:v>
                </c:pt>
                <c:pt idx="194">
                  <c:v>5.4593547452901755E-3</c:v>
                </c:pt>
                <c:pt idx="195">
                  <c:v>-1.1352532431690315E-4</c:v>
                </c:pt>
                <c:pt idx="196">
                  <c:v>3.6357236463911216E-3</c:v>
                </c:pt>
                <c:pt idx="197">
                  <c:v>1.5652868616051249E-3</c:v>
                </c:pt>
                <c:pt idx="198">
                  <c:v>8.2085934527483841E-3</c:v>
                </c:pt>
                <c:pt idx="199">
                  <c:v>4.3437864587886205E-3</c:v>
                </c:pt>
                <c:pt idx="200">
                  <c:v>-2.4498304399727042E-3</c:v>
                </c:pt>
                <c:pt idx="201">
                  <c:v>2.2463244735243309E-4</c:v>
                </c:pt>
                <c:pt idx="202">
                  <c:v>5.5227819184061589E-4</c:v>
                </c:pt>
                <c:pt idx="203">
                  <c:v>8.0891155916779447E-4</c:v>
                </c:pt>
                <c:pt idx="204">
                  <c:v>1.4069871925674464E-2</c:v>
                </c:pt>
                <c:pt idx="205">
                  <c:v>2.4844851212567458E-3</c:v>
                </c:pt>
                <c:pt idx="206">
                  <c:v>1.3978883698109539E-4</c:v>
                </c:pt>
                <c:pt idx="207">
                  <c:v>-1.5289317167868418E-3</c:v>
                </c:pt>
                <c:pt idx="208">
                  <c:v>3.7104128667719101E-4</c:v>
                </c:pt>
                <c:pt idx="209">
                  <c:v>2.8358867757397152E-4</c:v>
                </c:pt>
                <c:pt idx="210">
                  <c:v>6.6052804731476364E-3</c:v>
                </c:pt>
                <c:pt idx="211">
                  <c:v>-4.7325177733676367E-3</c:v>
                </c:pt>
                <c:pt idx="212">
                  <c:v>2.6791350900390587E-3</c:v>
                </c:pt>
                <c:pt idx="213">
                  <c:v>1.2295558727313877E-2</c:v>
                </c:pt>
                <c:pt idx="214">
                  <c:v>4.0962583713066002E-3</c:v>
                </c:pt>
                <c:pt idx="215">
                  <c:v>7.7219938286203764E-4</c:v>
                </c:pt>
                <c:pt idx="216">
                  <c:v>3.5307456374317342E-3</c:v>
                </c:pt>
                <c:pt idx="217">
                  <c:v>-4.0977206886295666E-3</c:v>
                </c:pt>
                <c:pt idx="218">
                  <c:v>-7.1798132766406125E-3</c:v>
                </c:pt>
                <c:pt idx="219">
                  <c:v>1.0178145019652718E-2</c:v>
                </c:pt>
                <c:pt idx="220">
                  <c:v>1.4337077087873542E-2</c:v>
                </c:pt>
                <c:pt idx="221">
                  <c:v>1.3166205056562214E-3</c:v>
                </c:pt>
                <c:pt idx="222">
                  <c:v>-3.6118020057948532E-4</c:v>
                </c:pt>
                <c:pt idx="223">
                  <c:v>-9.3815264879709291E-4</c:v>
                </c:pt>
                <c:pt idx="224">
                  <c:v>8.7020943182672811E-3</c:v>
                </c:pt>
                <c:pt idx="225">
                  <c:v>-4.3888027226710244E-3</c:v>
                </c:pt>
                <c:pt idx="226">
                  <c:v>-1.1468007261837261E-2</c:v>
                </c:pt>
                <c:pt idx="227">
                  <c:v>-4.3607511290581053E-4</c:v>
                </c:pt>
                <c:pt idx="228">
                  <c:v>5.1740570695386198E-3</c:v>
                </c:pt>
                <c:pt idx="229">
                  <c:v>1.5061596169345204E-3</c:v>
                </c:pt>
                <c:pt idx="230">
                  <c:v>7.0757684474898443E-3</c:v>
                </c:pt>
                <c:pt idx="231">
                  <c:v>3.663802669106586E-3</c:v>
                </c:pt>
                <c:pt idx="232">
                  <c:v>-1.1954442279626866E-2</c:v>
                </c:pt>
                <c:pt idx="233">
                  <c:v>-4.3147240915575868E-3</c:v>
                </c:pt>
                <c:pt idx="234">
                  <c:v>1.4562956303885604E-2</c:v>
                </c:pt>
                <c:pt idx="235">
                  <c:v>7.3215601617014773E-3</c:v>
                </c:pt>
                <c:pt idx="236">
                  <c:v>4.4252525806277431E-4</c:v>
                </c:pt>
                <c:pt idx="237">
                  <c:v>3.9884663750372343E-3</c:v>
                </c:pt>
                <c:pt idx="238">
                  <c:v>6.6171533654882002E-3</c:v>
                </c:pt>
                <c:pt idx="239">
                  <c:v>3.9493178679667843E-3</c:v>
                </c:pt>
                <c:pt idx="240">
                  <c:v>-6.2587390306820976E-3</c:v>
                </c:pt>
                <c:pt idx="241">
                  <c:v>-5.1844872838175274E-3</c:v>
                </c:pt>
                <c:pt idx="242">
                  <c:v>8.690425721960035E-3</c:v>
                </c:pt>
                <c:pt idx="243">
                  <c:v>7.2151808145397784E-3</c:v>
                </c:pt>
                <c:pt idx="244">
                  <c:v>4.4080861359199731E-4</c:v>
                </c:pt>
                <c:pt idx="245">
                  <c:v>7.5286687349386599E-3</c:v>
                </c:pt>
                <c:pt idx="246">
                  <c:v>2.2638069839525728E-3</c:v>
                </c:pt>
                <c:pt idx="247">
                  <c:v>4.8226123983903385E-3</c:v>
                </c:pt>
                <c:pt idx="248">
                  <c:v>-7.6194959770113707E-3</c:v>
                </c:pt>
                <c:pt idx="249">
                  <c:v>-9.3624741225965639E-3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910080"/>
        <c:axId val="152911872"/>
      </c:lineChart>
      <c:dateAx>
        <c:axId val="152910080"/>
        <c:scaling>
          <c:orientation val="minMax"/>
        </c:scaling>
        <c:delete val="0"/>
        <c:axPos val="b"/>
        <c:numFmt formatCode="[$-409]d\-mmm\-yy;@" sourceLinked="1"/>
        <c:majorTickMark val="none"/>
        <c:minorTickMark val="none"/>
        <c:tickLblPos val="nextTo"/>
        <c:crossAx val="152911872"/>
        <c:crosses val="autoZero"/>
        <c:auto val="1"/>
        <c:lblOffset val="100"/>
        <c:baseTimeUnit val="days"/>
      </c:dateAx>
      <c:valAx>
        <c:axId val="15291187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5291008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prueba!$K$2</c:f>
              <c:strCache>
                <c:ptCount val="1"/>
                <c:pt idx="0">
                  <c:v>ISE</c:v>
                </c:pt>
              </c:strCache>
            </c:strRef>
          </c:tx>
          <c:marker>
            <c:symbol val="none"/>
          </c:marker>
          <c:cat>
            <c:numRef>
              <c:f>prueba!$A$3:$A$252</c:f>
              <c:numCache>
                <c:formatCode>[$-409]d\-mmm\-yy;@</c:formatCode>
                <c:ptCount val="250"/>
                <c:pt idx="0">
                  <c:v>40232</c:v>
                </c:pt>
                <c:pt idx="1">
                  <c:v>40233</c:v>
                </c:pt>
                <c:pt idx="2">
                  <c:v>40234</c:v>
                </c:pt>
                <c:pt idx="3">
                  <c:v>40235</c:v>
                </c:pt>
                <c:pt idx="4">
                  <c:v>40238</c:v>
                </c:pt>
                <c:pt idx="5">
                  <c:v>40239</c:v>
                </c:pt>
                <c:pt idx="6">
                  <c:v>40240</c:v>
                </c:pt>
                <c:pt idx="7">
                  <c:v>40241</c:v>
                </c:pt>
                <c:pt idx="8">
                  <c:v>40242</c:v>
                </c:pt>
                <c:pt idx="9">
                  <c:v>40245</c:v>
                </c:pt>
                <c:pt idx="10">
                  <c:v>40246</c:v>
                </c:pt>
                <c:pt idx="11">
                  <c:v>40247</c:v>
                </c:pt>
                <c:pt idx="12">
                  <c:v>40248</c:v>
                </c:pt>
                <c:pt idx="13">
                  <c:v>40249</c:v>
                </c:pt>
                <c:pt idx="14">
                  <c:v>40252</c:v>
                </c:pt>
                <c:pt idx="15">
                  <c:v>40253</c:v>
                </c:pt>
                <c:pt idx="16">
                  <c:v>40254</c:v>
                </c:pt>
                <c:pt idx="17">
                  <c:v>40255</c:v>
                </c:pt>
                <c:pt idx="18">
                  <c:v>40256</c:v>
                </c:pt>
                <c:pt idx="19">
                  <c:v>40259</c:v>
                </c:pt>
                <c:pt idx="20">
                  <c:v>40260</c:v>
                </c:pt>
                <c:pt idx="21">
                  <c:v>40261</c:v>
                </c:pt>
                <c:pt idx="22">
                  <c:v>40262</c:v>
                </c:pt>
                <c:pt idx="23">
                  <c:v>40263</c:v>
                </c:pt>
                <c:pt idx="24">
                  <c:v>40266</c:v>
                </c:pt>
                <c:pt idx="25">
                  <c:v>40267</c:v>
                </c:pt>
                <c:pt idx="26">
                  <c:v>40268</c:v>
                </c:pt>
                <c:pt idx="27">
                  <c:v>40269</c:v>
                </c:pt>
                <c:pt idx="28">
                  <c:v>40270</c:v>
                </c:pt>
                <c:pt idx="29">
                  <c:v>40273</c:v>
                </c:pt>
                <c:pt idx="30">
                  <c:v>40274</c:v>
                </c:pt>
                <c:pt idx="31">
                  <c:v>40275</c:v>
                </c:pt>
                <c:pt idx="32">
                  <c:v>40276</c:v>
                </c:pt>
                <c:pt idx="33">
                  <c:v>40277</c:v>
                </c:pt>
                <c:pt idx="34">
                  <c:v>40280</c:v>
                </c:pt>
                <c:pt idx="35">
                  <c:v>40281</c:v>
                </c:pt>
                <c:pt idx="36">
                  <c:v>40282</c:v>
                </c:pt>
                <c:pt idx="37">
                  <c:v>40283</c:v>
                </c:pt>
                <c:pt idx="38">
                  <c:v>40284</c:v>
                </c:pt>
                <c:pt idx="39">
                  <c:v>40287</c:v>
                </c:pt>
                <c:pt idx="40">
                  <c:v>40288</c:v>
                </c:pt>
                <c:pt idx="41">
                  <c:v>40289</c:v>
                </c:pt>
                <c:pt idx="42">
                  <c:v>40290</c:v>
                </c:pt>
                <c:pt idx="43">
                  <c:v>40294</c:v>
                </c:pt>
                <c:pt idx="44">
                  <c:v>40295</c:v>
                </c:pt>
                <c:pt idx="45">
                  <c:v>40296</c:v>
                </c:pt>
                <c:pt idx="46">
                  <c:v>40297</c:v>
                </c:pt>
                <c:pt idx="47">
                  <c:v>40298</c:v>
                </c:pt>
                <c:pt idx="48">
                  <c:v>40301</c:v>
                </c:pt>
                <c:pt idx="49">
                  <c:v>40302</c:v>
                </c:pt>
                <c:pt idx="50">
                  <c:v>40303</c:v>
                </c:pt>
                <c:pt idx="51">
                  <c:v>40304</c:v>
                </c:pt>
                <c:pt idx="52">
                  <c:v>40305</c:v>
                </c:pt>
                <c:pt idx="53">
                  <c:v>40308</c:v>
                </c:pt>
                <c:pt idx="54">
                  <c:v>40309</c:v>
                </c:pt>
                <c:pt idx="55">
                  <c:v>40310</c:v>
                </c:pt>
                <c:pt idx="56">
                  <c:v>40311</c:v>
                </c:pt>
                <c:pt idx="57">
                  <c:v>40312</c:v>
                </c:pt>
                <c:pt idx="58">
                  <c:v>40315</c:v>
                </c:pt>
                <c:pt idx="59">
                  <c:v>40316</c:v>
                </c:pt>
                <c:pt idx="60">
                  <c:v>40318</c:v>
                </c:pt>
                <c:pt idx="61">
                  <c:v>40319</c:v>
                </c:pt>
                <c:pt idx="62">
                  <c:v>40322</c:v>
                </c:pt>
                <c:pt idx="63">
                  <c:v>40323</c:v>
                </c:pt>
                <c:pt idx="64">
                  <c:v>40324</c:v>
                </c:pt>
                <c:pt idx="65">
                  <c:v>40325</c:v>
                </c:pt>
                <c:pt idx="66">
                  <c:v>40326</c:v>
                </c:pt>
                <c:pt idx="67">
                  <c:v>40329</c:v>
                </c:pt>
                <c:pt idx="68">
                  <c:v>40330</c:v>
                </c:pt>
                <c:pt idx="69">
                  <c:v>40331</c:v>
                </c:pt>
                <c:pt idx="70">
                  <c:v>40332</c:v>
                </c:pt>
                <c:pt idx="71">
                  <c:v>40333</c:v>
                </c:pt>
                <c:pt idx="72">
                  <c:v>40336</c:v>
                </c:pt>
                <c:pt idx="73">
                  <c:v>40337</c:v>
                </c:pt>
                <c:pt idx="74">
                  <c:v>40338</c:v>
                </c:pt>
                <c:pt idx="75">
                  <c:v>40339</c:v>
                </c:pt>
                <c:pt idx="76">
                  <c:v>40340</c:v>
                </c:pt>
                <c:pt idx="77">
                  <c:v>40343</c:v>
                </c:pt>
                <c:pt idx="78">
                  <c:v>40344</c:v>
                </c:pt>
                <c:pt idx="79">
                  <c:v>40345</c:v>
                </c:pt>
                <c:pt idx="80">
                  <c:v>40346</c:v>
                </c:pt>
                <c:pt idx="81">
                  <c:v>40347</c:v>
                </c:pt>
                <c:pt idx="82">
                  <c:v>40350</c:v>
                </c:pt>
                <c:pt idx="83">
                  <c:v>40351</c:v>
                </c:pt>
                <c:pt idx="84">
                  <c:v>40352</c:v>
                </c:pt>
                <c:pt idx="85">
                  <c:v>40353</c:v>
                </c:pt>
                <c:pt idx="86">
                  <c:v>40354</c:v>
                </c:pt>
                <c:pt idx="87">
                  <c:v>40357</c:v>
                </c:pt>
                <c:pt idx="88">
                  <c:v>40358</c:v>
                </c:pt>
                <c:pt idx="89">
                  <c:v>40359</c:v>
                </c:pt>
                <c:pt idx="90">
                  <c:v>40360</c:v>
                </c:pt>
                <c:pt idx="91">
                  <c:v>40361</c:v>
                </c:pt>
                <c:pt idx="92">
                  <c:v>40364</c:v>
                </c:pt>
                <c:pt idx="93">
                  <c:v>40365</c:v>
                </c:pt>
                <c:pt idx="94">
                  <c:v>40366</c:v>
                </c:pt>
                <c:pt idx="95">
                  <c:v>40367</c:v>
                </c:pt>
                <c:pt idx="96">
                  <c:v>40368</c:v>
                </c:pt>
                <c:pt idx="97">
                  <c:v>40371</c:v>
                </c:pt>
                <c:pt idx="98">
                  <c:v>40372</c:v>
                </c:pt>
                <c:pt idx="99">
                  <c:v>40373</c:v>
                </c:pt>
                <c:pt idx="100">
                  <c:v>40374</c:v>
                </c:pt>
                <c:pt idx="101">
                  <c:v>40375</c:v>
                </c:pt>
                <c:pt idx="102">
                  <c:v>40378</c:v>
                </c:pt>
                <c:pt idx="103">
                  <c:v>40379</c:v>
                </c:pt>
                <c:pt idx="104">
                  <c:v>40380</c:v>
                </c:pt>
                <c:pt idx="105">
                  <c:v>40381</c:v>
                </c:pt>
                <c:pt idx="106">
                  <c:v>40382</c:v>
                </c:pt>
                <c:pt idx="107">
                  <c:v>40385</c:v>
                </c:pt>
                <c:pt idx="108">
                  <c:v>40386</c:v>
                </c:pt>
                <c:pt idx="109">
                  <c:v>40387</c:v>
                </c:pt>
                <c:pt idx="110">
                  <c:v>40388</c:v>
                </c:pt>
                <c:pt idx="111">
                  <c:v>40389</c:v>
                </c:pt>
                <c:pt idx="112">
                  <c:v>40392</c:v>
                </c:pt>
                <c:pt idx="113">
                  <c:v>40393</c:v>
                </c:pt>
                <c:pt idx="114">
                  <c:v>40394</c:v>
                </c:pt>
                <c:pt idx="115">
                  <c:v>40395</c:v>
                </c:pt>
                <c:pt idx="116">
                  <c:v>40396</c:v>
                </c:pt>
                <c:pt idx="117">
                  <c:v>40399</c:v>
                </c:pt>
                <c:pt idx="118">
                  <c:v>40400</c:v>
                </c:pt>
                <c:pt idx="119">
                  <c:v>40401</c:v>
                </c:pt>
                <c:pt idx="120">
                  <c:v>40402</c:v>
                </c:pt>
                <c:pt idx="121">
                  <c:v>40403</c:v>
                </c:pt>
                <c:pt idx="122">
                  <c:v>40406</c:v>
                </c:pt>
                <c:pt idx="123">
                  <c:v>40407</c:v>
                </c:pt>
                <c:pt idx="124">
                  <c:v>40408</c:v>
                </c:pt>
                <c:pt idx="125">
                  <c:v>40409</c:v>
                </c:pt>
                <c:pt idx="126">
                  <c:v>40410</c:v>
                </c:pt>
                <c:pt idx="127">
                  <c:v>40413</c:v>
                </c:pt>
                <c:pt idx="128">
                  <c:v>40414</c:v>
                </c:pt>
                <c:pt idx="129">
                  <c:v>40415</c:v>
                </c:pt>
                <c:pt idx="130">
                  <c:v>40416</c:v>
                </c:pt>
                <c:pt idx="131">
                  <c:v>40417</c:v>
                </c:pt>
                <c:pt idx="132">
                  <c:v>40421</c:v>
                </c:pt>
                <c:pt idx="133">
                  <c:v>40422</c:v>
                </c:pt>
                <c:pt idx="134">
                  <c:v>40423</c:v>
                </c:pt>
                <c:pt idx="135">
                  <c:v>40424</c:v>
                </c:pt>
                <c:pt idx="136">
                  <c:v>40427</c:v>
                </c:pt>
                <c:pt idx="137">
                  <c:v>40428</c:v>
                </c:pt>
                <c:pt idx="138">
                  <c:v>40429</c:v>
                </c:pt>
                <c:pt idx="139">
                  <c:v>40434</c:v>
                </c:pt>
                <c:pt idx="140">
                  <c:v>40435</c:v>
                </c:pt>
                <c:pt idx="141">
                  <c:v>40436</c:v>
                </c:pt>
                <c:pt idx="142">
                  <c:v>40437</c:v>
                </c:pt>
                <c:pt idx="143">
                  <c:v>40438</c:v>
                </c:pt>
                <c:pt idx="144">
                  <c:v>40441</c:v>
                </c:pt>
                <c:pt idx="145">
                  <c:v>40442</c:v>
                </c:pt>
                <c:pt idx="146">
                  <c:v>40443</c:v>
                </c:pt>
                <c:pt idx="147">
                  <c:v>40444</c:v>
                </c:pt>
                <c:pt idx="148">
                  <c:v>40445</c:v>
                </c:pt>
                <c:pt idx="149">
                  <c:v>40448</c:v>
                </c:pt>
                <c:pt idx="150">
                  <c:v>40449</c:v>
                </c:pt>
                <c:pt idx="151">
                  <c:v>40450</c:v>
                </c:pt>
                <c:pt idx="152">
                  <c:v>40451</c:v>
                </c:pt>
                <c:pt idx="153">
                  <c:v>40452</c:v>
                </c:pt>
                <c:pt idx="154">
                  <c:v>40455</c:v>
                </c:pt>
                <c:pt idx="155">
                  <c:v>40456</c:v>
                </c:pt>
                <c:pt idx="156">
                  <c:v>40457</c:v>
                </c:pt>
                <c:pt idx="157">
                  <c:v>40458</c:v>
                </c:pt>
                <c:pt idx="158">
                  <c:v>40459</c:v>
                </c:pt>
                <c:pt idx="159">
                  <c:v>40462</c:v>
                </c:pt>
                <c:pt idx="160">
                  <c:v>40463</c:v>
                </c:pt>
                <c:pt idx="161">
                  <c:v>40464</c:v>
                </c:pt>
                <c:pt idx="162">
                  <c:v>40465</c:v>
                </c:pt>
                <c:pt idx="163">
                  <c:v>40466</c:v>
                </c:pt>
                <c:pt idx="164">
                  <c:v>40469</c:v>
                </c:pt>
                <c:pt idx="165">
                  <c:v>40470</c:v>
                </c:pt>
                <c:pt idx="166">
                  <c:v>40471</c:v>
                </c:pt>
                <c:pt idx="167">
                  <c:v>40472</c:v>
                </c:pt>
                <c:pt idx="168">
                  <c:v>40473</c:v>
                </c:pt>
                <c:pt idx="169">
                  <c:v>40476</c:v>
                </c:pt>
                <c:pt idx="170">
                  <c:v>40477</c:v>
                </c:pt>
                <c:pt idx="171">
                  <c:v>40478</c:v>
                </c:pt>
                <c:pt idx="172">
                  <c:v>40483</c:v>
                </c:pt>
                <c:pt idx="173">
                  <c:v>40484</c:v>
                </c:pt>
                <c:pt idx="174">
                  <c:v>40485</c:v>
                </c:pt>
                <c:pt idx="175">
                  <c:v>40486</c:v>
                </c:pt>
                <c:pt idx="176">
                  <c:v>40487</c:v>
                </c:pt>
                <c:pt idx="177">
                  <c:v>40490</c:v>
                </c:pt>
                <c:pt idx="178">
                  <c:v>40491</c:v>
                </c:pt>
                <c:pt idx="179">
                  <c:v>40492</c:v>
                </c:pt>
                <c:pt idx="180">
                  <c:v>40493</c:v>
                </c:pt>
                <c:pt idx="181">
                  <c:v>40494</c:v>
                </c:pt>
                <c:pt idx="182">
                  <c:v>40497</c:v>
                </c:pt>
                <c:pt idx="183">
                  <c:v>40504</c:v>
                </c:pt>
                <c:pt idx="184">
                  <c:v>40505</c:v>
                </c:pt>
                <c:pt idx="185">
                  <c:v>40506</c:v>
                </c:pt>
                <c:pt idx="186">
                  <c:v>40507</c:v>
                </c:pt>
                <c:pt idx="187">
                  <c:v>40508</c:v>
                </c:pt>
                <c:pt idx="188">
                  <c:v>40511</c:v>
                </c:pt>
                <c:pt idx="189">
                  <c:v>40512</c:v>
                </c:pt>
                <c:pt idx="190">
                  <c:v>40513</c:v>
                </c:pt>
                <c:pt idx="191">
                  <c:v>40514</c:v>
                </c:pt>
                <c:pt idx="192">
                  <c:v>40515</c:v>
                </c:pt>
                <c:pt idx="193">
                  <c:v>40518</c:v>
                </c:pt>
                <c:pt idx="194">
                  <c:v>40519</c:v>
                </c:pt>
                <c:pt idx="195">
                  <c:v>40520</c:v>
                </c:pt>
                <c:pt idx="196">
                  <c:v>40521</c:v>
                </c:pt>
                <c:pt idx="197">
                  <c:v>40522</c:v>
                </c:pt>
                <c:pt idx="198">
                  <c:v>40525</c:v>
                </c:pt>
                <c:pt idx="199">
                  <c:v>40526</c:v>
                </c:pt>
                <c:pt idx="200">
                  <c:v>40527</c:v>
                </c:pt>
                <c:pt idx="201">
                  <c:v>40528</c:v>
                </c:pt>
                <c:pt idx="202">
                  <c:v>40529</c:v>
                </c:pt>
                <c:pt idx="203">
                  <c:v>40532</c:v>
                </c:pt>
                <c:pt idx="204">
                  <c:v>40533</c:v>
                </c:pt>
                <c:pt idx="205">
                  <c:v>40534</c:v>
                </c:pt>
                <c:pt idx="206">
                  <c:v>40535</c:v>
                </c:pt>
                <c:pt idx="207">
                  <c:v>40536</c:v>
                </c:pt>
                <c:pt idx="208">
                  <c:v>40539</c:v>
                </c:pt>
                <c:pt idx="209">
                  <c:v>40540</c:v>
                </c:pt>
                <c:pt idx="210">
                  <c:v>40541</c:v>
                </c:pt>
                <c:pt idx="211">
                  <c:v>40542</c:v>
                </c:pt>
                <c:pt idx="212">
                  <c:v>40543</c:v>
                </c:pt>
                <c:pt idx="213">
                  <c:v>40546</c:v>
                </c:pt>
                <c:pt idx="214">
                  <c:v>40547</c:v>
                </c:pt>
                <c:pt idx="215">
                  <c:v>40548</c:v>
                </c:pt>
                <c:pt idx="216">
                  <c:v>40549</c:v>
                </c:pt>
                <c:pt idx="217">
                  <c:v>40550</c:v>
                </c:pt>
                <c:pt idx="218">
                  <c:v>40553</c:v>
                </c:pt>
                <c:pt idx="219">
                  <c:v>40554</c:v>
                </c:pt>
                <c:pt idx="220">
                  <c:v>40555</c:v>
                </c:pt>
                <c:pt idx="221">
                  <c:v>40556</c:v>
                </c:pt>
                <c:pt idx="222">
                  <c:v>40557</c:v>
                </c:pt>
                <c:pt idx="223">
                  <c:v>40560</c:v>
                </c:pt>
                <c:pt idx="224">
                  <c:v>40561</c:v>
                </c:pt>
                <c:pt idx="225">
                  <c:v>40562</c:v>
                </c:pt>
                <c:pt idx="226">
                  <c:v>40563</c:v>
                </c:pt>
                <c:pt idx="227">
                  <c:v>40564</c:v>
                </c:pt>
                <c:pt idx="228">
                  <c:v>40567</c:v>
                </c:pt>
                <c:pt idx="229">
                  <c:v>40568</c:v>
                </c:pt>
                <c:pt idx="230">
                  <c:v>40569</c:v>
                </c:pt>
                <c:pt idx="231">
                  <c:v>40570</c:v>
                </c:pt>
                <c:pt idx="232">
                  <c:v>40571</c:v>
                </c:pt>
                <c:pt idx="233">
                  <c:v>40574</c:v>
                </c:pt>
                <c:pt idx="234">
                  <c:v>40575</c:v>
                </c:pt>
                <c:pt idx="235">
                  <c:v>40576</c:v>
                </c:pt>
                <c:pt idx="236">
                  <c:v>40577</c:v>
                </c:pt>
                <c:pt idx="237">
                  <c:v>40578</c:v>
                </c:pt>
                <c:pt idx="238">
                  <c:v>40581</c:v>
                </c:pt>
                <c:pt idx="239">
                  <c:v>40582</c:v>
                </c:pt>
                <c:pt idx="240">
                  <c:v>40583</c:v>
                </c:pt>
                <c:pt idx="241">
                  <c:v>40584</c:v>
                </c:pt>
                <c:pt idx="242">
                  <c:v>40585</c:v>
                </c:pt>
                <c:pt idx="243">
                  <c:v>40588</c:v>
                </c:pt>
                <c:pt idx="244">
                  <c:v>40589</c:v>
                </c:pt>
                <c:pt idx="245">
                  <c:v>40590</c:v>
                </c:pt>
                <c:pt idx="246">
                  <c:v>40591</c:v>
                </c:pt>
                <c:pt idx="247">
                  <c:v>40592</c:v>
                </c:pt>
                <c:pt idx="248">
                  <c:v>40595</c:v>
                </c:pt>
                <c:pt idx="249">
                  <c:v>40596</c:v>
                </c:pt>
              </c:numCache>
            </c:numRef>
          </c:cat>
          <c:val>
            <c:numRef>
              <c:f>prueba!$K$3:$K$252</c:f>
              <c:numCache>
                <c:formatCode>General</c:formatCode>
                <c:ptCount val="250"/>
                <c:pt idx="0">
                  <c:v>-3.2981933999999997E-2</c:v>
                </c:pt>
                <c:pt idx="1">
                  <c:v>-4.3526856000000003E-2</c:v>
                </c:pt>
                <c:pt idx="2">
                  <c:v>-2.0265320999999999E-2</c:v>
                </c:pt>
                <c:pt idx="3">
                  <c:v>2.2167026999999999E-2</c:v>
                </c:pt>
                <c:pt idx="4">
                  <c:v>2.9827052E-2</c:v>
                </c:pt>
                <c:pt idx="5">
                  <c:v>8.1772140000000004E-3</c:v>
                </c:pt>
                <c:pt idx="6">
                  <c:v>3.7990379999999998E-3</c:v>
                </c:pt>
                <c:pt idx="7">
                  <c:v>-8.7260900000000006E-3</c:v>
                </c:pt>
                <c:pt idx="8">
                  <c:v>2.2575537E-2</c:v>
                </c:pt>
                <c:pt idx="9">
                  <c:v>2.2410943999999999E-2</c:v>
                </c:pt>
                <c:pt idx="10">
                  <c:v>-1.2297361999999999E-2</c:v>
                </c:pt>
                <c:pt idx="11">
                  <c:v>-2.936129E-3</c:v>
                </c:pt>
                <c:pt idx="12">
                  <c:v>-5.5874719999999996E-3</c:v>
                </c:pt>
                <c:pt idx="13">
                  <c:v>3.5570049999999998E-3</c:v>
                </c:pt>
                <c:pt idx="14">
                  <c:v>-6.3373630000000004E-3</c:v>
                </c:pt>
                <c:pt idx="15">
                  <c:v>2.4778657999999999E-2</c:v>
                </c:pt>
                <c:pt idx="16">
                  <c:v>2.7046713999999999E-2</c:v>
                </c:pt>
                <c:pt idx="17">
                  <c:v>-1.8503617E-2</c:v>
                </c:pt>
                <c:pt idx="18">
                  <c:v>-7.7491770000000003E-3</c:v>
                </c:pt>
                <c:pt idx="19">
                  <c:v>-3.3317299999999998E-4</c:v>
                </c:pt>
                <c:pt idx="20">
                  <c:v>9.1997510000000008E-3</c:v>
                </c:pt>
                <c:pt idx="21">
                  <c:v>1.5642970999999999E-2</c:v>
                </c:pt>
                <c:pt idx="22">
                  <c:v>3.4281823000000003E-2</c:v>
                </c:pt>
                <c:pt idx="23">
                  <c:v>-2.5390999999999999E-3</c:v>
                </c:pt>
                <c:pt idx="24">
                  <c:v>2.9870510000000001E-3</c:v>
                </c:pt>
                <c:pt idx="25">
                  <c:v>2.8998959999999999E-3</c:v>
                </c:pt>
                <c:pt idx="26">
                  <c:v>9.2072599999999997E-6</c:v>
                </c:pt>
                <c:pt idx="27">
                  <c:v>2.3256492E-2</c:v>
                </c:pt>
                <c:pt idx="28">
                  <c:v>6.6703969999999998E-3</c:v>
                </c:pt>
                <c:pt idx="29">
                  <c:v>1.1553941E-2</c:v>
                </c:pt>
                <c:pt idx="30">
                  <c:v>-1.3568009999999999E-3</c:v>
                </c:pt>
                <c:pt idx="31">
                  <c:v>1.1301841E-2</c:v>
                </c:pt>
                <c:pt idx="32">
                  <c:v>-6.8009860000000002E-3</c:v>
                </c:pt>
                <c:pt idx="33">
                  <c:v>2.3087673E-2</c:v>
                </c:pt>
                <c:pt idx="34">
                  <c:v>-3.594491E-3</c:v>
                </c:pt>
                <c:pt idx="35">
                  <c:v>-1.6214159999999998E-2</c:v>
                </c:pt>
                <c:pt idx="36">
                  <c:v>2.8145888000000001E-2</c:v>
                </c:pt>
                <c:pt idx="37">
                  <c:v>-3.2906010000000002E-3</c:v>
                </c:pt>
                <c:pt idx="38">
                  <c:v>-1.1798022999999999E-2</c:v>
                </c:pt>
                <c:pt idx="39">
                  <c:v>-1.4212047E-2</c:v>
                </c:pt>
                <c:pt idx="40">
                  <c:v>1.6708117000000001E-2</c:v>
                </c:pt>
                <c:pt idx="41">
                  <c:v>-3.765961E-3</c:v>
                </c:pt>
                <c:pt idx="42">
                  <c:v>-1.1803199999999999E-3</c:v>
                </c:pt>
                <c:pt idx="43">
                  <c:v>1.5475997E-2</c:v>
                </c:pt>
                <c:pt idx="44">
                  <c:v>-1.7618884000000001E-2</c:v>
                </c:pt>
                <c:pt idx="45">
                  <c:v>-2.0578676000000001E-2</c:v>
                </c:pt>
                <c:pt idx="46">
                  <c:v>2.5293045E-2</c:v>
                </c:pt>
                <c:pt idx="47">
                  <c:v>8.7574430000000002E-3</c:v>
                </c:pt>
                <c:pt idx="48">
                  <c:v>-1.7841335E-2</c:v>
                </c:pt>
                <c:pt idx="49">
                  <c:v>-2.1593711000000002E-2</c:v>
                </c:pt>
                <c:pt idx="50">
                  <c:v>-2.80919E-2</c:v>
                </c:pt>
                <c:pt idx="51">
                  <c:v>-2.4921713000000002E-2</c:v>
                </c:pt>
                <c:pt idx="52">
                  <c:v>-7.6967444999999995E-2</c:v>
                </c:pt>
                <c:pt idx="53">
                  <c:v>0.100620694</c:v>
                </c:pt>
                <c:pt idx="54">
                  <c:v>-1.0619633999999999E-2</c:v>
                </c:pt>
                <c:pt idx="55">
                  <c:v>3.099938E-2</c:v>
                </c:pt>
                <c:pt idx="56">
                  <c:v>6.1901070000000002E-3</c:v>
                </c:pt>
                <c:pt idx="57">
                  <c:v>-4.6439623999999999E-2</c:v>
                </c:pt>
                <c:pt idx="58">
                  <c:v>-3.439788E-3</c:v>
                </c:pt>
                <c:pt idx="59">
                  <c:v>2.1205696999999999E-2</c:v>
                </c:pt>
                <c:pt idx="60">
                  <c:v>-7.3525699999999999E-2</c:v>
                </c:pt>
                <c:pt idx="61">
                  <c:v>-8.0728129999999999E-3</c:v>
                </c:pt>
                <c:pt idx="62">
                  <c:v>1.5165339999999999E-2</c:v>
                </c:pt>
                <c:pt idx="63">
                  <c:v>-5.7318925E-2</c:v>
                </c:pt>
                <c:pt idx="64">
                  <c:v>4.3782356000000001E-2</c:v>
                </c:pt>
                <c:pt idx="65">
                  <c:v>1.4993319E-2</c:v>
                </c:pt>
                <c:pt idx="66">
                  <c:v>1.9388862E-2</c:v>
                </c:pt>
                <c:pt idx="67">
                  <c:v>-2.5179175000000002E-2</c:v>
                </c:pt>
                <c:pt idx="68">
                  <c:v>-7.1334019999999996E-3</c:v>
                </c:pt>
                <c:pt idx="69">
                  <c:v>1.7966551000000001E-2</c:v>
                </c:pt>
                <c:pt idx="70">
                  <c:v>8.1771550000000002E-3</c:v>
                </c:pt>
                <c:pt idx="71">
                  <c:v>-2.1635353E-2</c:v>
                </c:pt>
                <c:pt idx="72">
                  <c:v>-1.5977304000000001E-2</c:v>
                </c:pt>
                <c:pt idx="73">
                  <c:v>-1.4532623999999999E-2</c:v>
                </c:pt>
                <c:pt idx="74">
                  <c:v>1.5006205999999999E-2</c:v>
                </c:pt>
                <c:pt idx="75">
                  <c:v>1.2652948000000001E-2</c:v>
                </c:pt>
                <c:pt idx="76">
                  <c:v>1.5163322999999999E-2</c:v>
                </c:pt>
                <c:pt idx="77">
                  <c:v>1.7462518999999999E-2</c:v>
                </c:pt>
                <c:pt idx="78">
                  <c:v>7.567692E-3</c:v>
                </c:pt>
                <c:pt idx="79">
                  <c:v>5.8783070000000002E-3</c:v>
                </c:pt>
                <c:pt idx="80">
                  <c:v>1.079917E-2</c:v>
                </c:pt>
                <c:pt idx="81">
                  <c:v>6.8365769999999999E-3</c:v>
                </c:pt>
                <c:pt idx="82">
                  <c:v>8.1935859999999992E-3</c:v>
                </c:pt>
                <c:pt idx="83">
                  <c:v>-1.1254900999999999E-2</c:v>
                </c:pt>
                <c:pt idx="84">
                  <c:v>-2.2131100000000001E-2</c:v>
                </c:pt>
                <c:pt idx="85">
                  <c:v>-8.0241830000000007E-3</c:v>
                </c:pt>
                <c:pt idx="86">
                  <c:v>-3.5908419999999999E-3</c:v>
                </c:pt>
                <c:pt idx="87">
                  <c:v>1.6951145000000001E-2</c:v>
                </c:pt>
                <c:pt idx="88">
                  <c:v>-2.8443062000000002E-2</c:v>
                </c:pt>
                <c:pt idx="89">
                  <c:v>-6.1949509999999998E-3</c:v>
                </c:pt>
                <c:pt idx="90">
                  <c:v>-7.6776190000000001E-3</c:v>
                </c:pt>
                <c:pt idx="91">
                  <c:v>2.6056593999999999E-2</c:v>
                </c:pt>
                <c:pt idx="92">
                  <c:v>7.3752330000000001E-3</c:v>
                </c:pt>
                <c:pt idx="93">
                  <c:v>2.2922606000000002E-2</c:v>
                </c:pt>
                <c:pt idx="94">
                  <c:v>-7.1371900000000003E-4</c:v>
                </c:pt>
                <c:pt idx="95">
                  <c:v>1.5335579E-2</c:v>
                </c:pt>
                <c:pt idx="96">
                  <c:v>-2.3665359999999998E-3</c:v>
                </c:pt>
                <c:pt idx="97">
                  <c:v>2.454421E-3</c:v>
                </c:pt>
                <c:pt idx="98">
                  <c:v>1.2557159E-2</c:v>
                </c:pt>
                <c:pt idx="99">
                  <c:v>9.6638430000000001E-3</c:v>
                </c:pt>
                <c:pt idx="100">
                  <c:v>-7.8020019999999997E-3</c:v>
                </c:pt>
                <c:pt idx="101">
                  <c:v>4.7438610000000003E-3</c:v>
                </c:pt>
                <c:pt idx="102">
                  <c:v>1.609521E-3</c:v>
                </c:pt>
                <c:pt idx="103">
                  <c:v>4.8897200000000002E-3</c:v>
                </c:pt>
                <c:pt idx="104">
                  <c:v>2.7040453999999998E-2</c:v>
                </c:pt>
                <c:pt idx="105">
                  <c:v>8.759167E-3</c:v>
                </c:pt>
                <c:pt idx="106">
                  <c:v>-6.5019730000000003E-3</c:v>
                </c:pt>
                <c:pt idx="107">
                  <c:v>2.976954E-3</c:v>
                </c:pt>
                <c:pt idx="108">
                  <c:v>1.8680978000000001E-2</c:v>
                </c:pt>
                <c:pt idx="109">
                  <c:v>2.580017E-3</c:v>
                </c:pt>
                <c:pt idx="110">
                  <c:v>5.4291909999999999E-3</c:v>
                </c:pt>
                <c:pt idx="111">
                  <c:v>-1.5301669E-2</c:v>
                </c:pt>
                <c:pt idx="112">
                  <c:v>2.2125061000000001E-2</c:v>
                </c:pt>
                <c:pt idx="113">
                  <c:v>-6.4154770000000002E-3</c:v>
                </c:pt>
                <c:pt idx="114">
                  <c:v>-8.0658840000000006E-3</c:v>
                </c:pt>
                <c:pt idx="115">
                  <c:v>-5.9189819999999997E-3</c:v>
                </c:pt>
                <c:pt idx="116">
                  <c:v>5.730527E-3</c:v>
                </c:pt>
                <c:pt idx="117">
                  <c:v>8.2076070000000004E-3</c:v>
                </c:pt>
                <c:pt idx="118">
                  <c:v>-1.7887816000000001E-2</c:v>
                </c:pt>
                <c:pt idx="119">
                  <c:v>-2.5658664000000001E-2</c:v>
                </c:pt>
                <c:pt idx="120">
                  <c:v>-3.832495E-3</c:v>
                </c:pt>
                <c:pt idx="121">
                  <c:v>6.9472309999999999E-3</c:v>
                </c:pt>
                <c:pt idx="122">
                  <c:v>6.5785360000000003E-3</c:v>
                </c:pt>
                <c:pt idx="123">
                  <c:v>2.0238128000000001E-2</c:v>
                </c:pt>
                <c:pt idx="124">
                  <c:v>-3.2736199999999999E-4</c:v>
                </c:pt>
                <c:pt idx="125">
                  <c:v>-1.2118576000000001E-2</c:v>
                </c:pt>
                <c:pt idx="126">
                  <c:v>-9.9611449999999994E-3</c:v>
                </c:pt>
                <c:pt idx="127">
                  <c:v>-3.9646400000000002E-4</c:v>
                </c:pt>
                <c:pt idx="128">
                  <c:v>-1.3976189E-2</c:v>
                </c:pt>
                <c:pt idx="129">
                  <c:v>-2.2902550000000002E-3</c:v>
                </c:pt>
                <c:pt idx="130">
                  <c:v>1.5274596999999999E-2</c:v>
                </c:pt>
                <c:pt idx="131">
                  <c:v>5.8530750000000001E-3</c:v>
                </c:pt>
                <c:pt idx="132">
                  <c:v>6.8124229999999997E-3</c:v>
                </c:pt>
                <c:pt idx="133">
                  <c:v>1.5375877E-2</c:v>
                </c:pt>
                <c:pt idx="134">
                  <c:v>9.6579519999999992E-3</c:v>
                </c:pt>
                <c:pt idx="135">
                  <c:v>6.1142590000000004E-3</c:v>
                </c:pt>
                <c:pt idx="136">
                  <c:v>5.5482960000000003E-3</c:v>
                </c:pt>
                <c:pt idx="137">
                  <c:v>-1.2223346E-2</c:v>
                </c:pt>
                <c:pt idx="138">
                  <c:v>-2.284646E-3</c:v>
                </c:pt>
                <c:pt idx="139">
                  <c:v>3.6792574000000001E-2</c:v>
                </c:pt>
                <c:pt idx="140">
                  <c:v>9.56115E-4</c:v>
                </c:pt>
                <c:pt idx="141">
                  <c:v>1.8699349000000001E-2</c:v>
                </c:pt>
                <c:pt idx="142">
                  <c:v>6.2122219999999999E-3</c:v>
                </c:pt>
                <c:pt idx="143">
                  <c:v>-6.6432399999999999E-4</c:v>
                </c:pt>
                <c:pt idx="144">
                  <c:v>6.6035809999999999E-3</c:v>
                </c:pt>
                <c:pt idx="145">
                  <c:v>3.2605500000000001E-4</c:v>
                </c:pt>
                <c:pt idx="146">
                  <c:v>1.0378034E-2</c:v>
                </c:pt>
                <c:pt idx="147">
                  <c:v>-6.8895400000000004E-3</c:v>
                </c:pt>
                <c:pt idx="148">
                  <c:v>2.3149669999999998E-3</c:v>
                </c:pt>
                <c:pt idx="149">
                  <c:v>1.2779852E-2</c:v>
                </c:pt>
                <c:pt idx="150">
                  <c:v>1.5942484E-2</c:v>
                </c:pt>
                <c:pt idx="151">
                  <c:v>1.0183485000000001E-2</c:v>
                </c:pt>
                <c:pt idx="152">
                  <c:v>8.7890529999999998E-3</c:v>
                </c:pt>
                <c:pt idx="153">
                  <c:v>-1.0596542E-2</c:v>
                </c:pt>
                <c:pt idx="154">
                  <c:v>8.2422060000000002E-3</c:v>
                </c:pt>
                <c:pt idx="155">
                  <c:v>1.1309614000000001E-2</c:v>
                </c:pt>
                <c:pt idx="156">
                  <c:v>2.7594180999999999E-2</c:v>
                </c:pt>
                <c:pt idx="157">
                  <c:v>8.8612900000000004E-4</c:v>
                </c:pt>
                <c:pt idx="158">
                  <c:v>1.96004E-4</c:v>
                </c:pt>
                <c:pt idx="159">
                  <c:v>3.7795035999999997E-2</c:v>
                </c:pt>
                <c:pt idx="160">
                  <c:v>3.7386800000000002E-4</c:v>
                </c:pt>
                <c:pt idx="161">
                  <c:v>1.5684163000000001E-2</c:v>
                </c:pt>
                <c:pt idx="162">
                  <c:v>-4.1285209999999996E-3</c:v>
                </c:pt>
                <c:pt idx="163">
                  <c:v>7.6884950000000001E-3</c:v>
                </c:pt>
                <c:pt idx="164">
                  <c:v>-8.1409800000000008E-3</c:v>
                </c:pt>
                <c:pt idx="165">
                  <c:v>-7.6958809999999999E-3</c:v>
                </c:pt>
                <c:pt idx="166">
                  <c:v>-1.1326734999999999E-2</c:v>
                </c:pt>
                <c:pt idx="167">
                  <c:v>2.2096172000000001E-2</c:v>
                </c:pt>
                <c:pt idx="168">
                  <c:v>1.7962900000000001E-3</c:v>
                </c:pt>
                <c:pt idx="169">
                  <c:v>8.5209750000000001E-3</c:v>
                </c:pt>
                <c:pt idx="170">
                  <c:v>-6.4019259999999996E-3</c:v>
                </c:pt>
                <c:pt idx="171">
                  <c:v>-4.2735495999999998E-2</c:v>
                </c:pt>
                <c:pt idx="172">
                  <c:v>1.4432573000000001E-2</c:v>
                </c:pt>
                <c:pt idx="173">
                  <c:v>-1.306691E-3</c:v>
                </c:pt>
                <c:pt idx="174">
                  <c:v>7.0394430000000003E-3</c:v>
                </c:pt>
                <c:pt idx="175">
                  <c:v>4.2670291999999999E-2</c:v>
                </c:pt>
                <c:pt idx="176">
                  <c:v>-4.3741179999999998E-3</c:v>
                </c:pt>
                <c:pt idx="177">
                  <c:v>-5.7341299999999996E-3</c:v>
                </c:pt>
                <c:pt idx="178">
                  <c:v>8.5232399999999996E-3</c:v>
                </c:pt>
                <c:pt idx="179">
                  <c:v>-1.6602556000000001E-2</c:v>
                </c:pt>
                <c:pt idx="180">
                  <c:v>-1.1877057999999999E-2</c:v>
                </c:pt>
                <c:pt idx="181">
                  <c:v>-1.7336606000000001E-2</c:v>
                </c:pt>
                <c:pt idx="182">
                  <c:v>6.3788610000000004E-3</c:v>
                </c:pt>
                <c:pt idx="183">
                  <c:v>-3.5632732E-2</c:v>
                </c:pt>
                <c:pt idx="184">
                  <c:v>-3.7541092999999998E-2</c:v>
                </c:pt>
                <c:pt idx="185">
                  <c:v>-4.48648E-4</c:v>
                </c:pt>
                <c:pt idx="186">
                  <c:v>3.5347099999999999E-3</c:v>
                </c:pt>
                <c:pt idx="187">
                  <c:v>-2.3631065E-2</c:v>
                </c:pt>
                <c:pt idx="188">
                  <c:v>-3.4779442000000001E-2</c:v>
                </c:pt>
                <c:pt idx="189">
                  <c:v>1.117932E-2</c:v>
                </c:pt>
                <c:pt idx="190">
                  <c:v>1.9146303999999999E-2</c:v>
                </c:pt>
                <c:pt idx="191">
                  <c:v>1.6953000999999999E-2</c:v>
                </c:pt>
                <c:pt idx="192">
                  <c:v>4.1029040000000001E-3</c:v>
                </c:pt>
                <c:pt idx="193">
                  <c:v>1.0356506E-2</c:v>
                </c:pt>
                <c:pt idx="194">
                  <c:v>8.157404E-3</c:v>
                </c:pt>
                <c:pt idx="195">
                  <c:v>-1.2462407999999999E-2</c:v>
                </c:pt>
                <c:pt idx="196">
                  <c:v>-3.1852930000000002E-2</c:v>
                </c:pt>
                <c:pt idx="197">
                  <c:v>-2.0089706999999998E-2</c:v>
                </c:pt>
                <c:pt idx="198">
                  <c:v>2.2188263E-2</c:v>
                </c:pt>
                <c:pt idx="199">
                  <c:v>4.6893179999999996E-3</c:v>
                </c:pt>
                <c:pt idx="200">
                  <c:v>-2.6703272E-2</c:v>
                </c:pt>
                <c:pt idx="201">
                  <c:v>-1.9641181000000001E-2</c:v>
                </c:pt>
                <c:pt idx="202">
                  <c:v>-1.6985296E-2</c:v>
                </c:pt>
                <c:pt idx="203">
                  <c:v>-1.7391671000000001E-2</c:v>
                </c:pt>
                <c:pt idx="204">
                  <c:v>1.8217236000000001E-2</c:v>
                </c:pt>
                <c:pt idx="205">
                  <c:v>1.2176661E-2</c:v>
                </c:pt>
                <c:pt idx="206">
                  <c:v>1.2478901000000001E-2</c:v>
                </c:pt>
                <c:pt idx="207">
                  <c:v>4.2329669999999998E-3</c:v>
                </c:pt>
                <c:pt idx="208">
                  <c:v>6.3400000000000001E-4</c:v>
                </c:pt>
                <c:pt idx="209">
                  <c:v>4.3838200000000002E-4</c:v>
                </c:pt>
                <c:pt idx="210">
                  <c:v>-5.5817740000000003E-3</c:v>
                </c:pt>
                <c:pt idx="211">
                  <c:v>8.4384979999999991E-3</c:v>
                </c:pt>
                <c:pt idx="212">
                  <c:v>-6.861097E-3</c:v>
                </c:pt>
                <c:pt idx="213">
                  <c:v>1.7515472000000001E-2</c:v>
                </c:pt>
                <c:pt idx="214">
                  <c:v>1.1047589999999999E-2</c:v>
                </c:pt>
                <c:pt idx="215">
                  <c:v>1.1780211000000001E-2</c:v>
                </c:pt>
                <c:pt idx="216">
                  <c:v>6.8502199999999997E-3</c:v>
                </c:pt>
                <c:pt idx="217">
                  <c:v>-1.8754847000000002E-2</c:v>
                </c:pt>
                <c:pt idx="218">
                  <c:v>-2.6324670000000001E-2</c:v>
                </c:pt>
                <c:pt idx="219">
                  <c:v>1.7947670000000001E-3</c:v>
                </c:pt>
                <c:pt idx="220">
                  <c:v>9.0640510000000001E-3</c:v>
                </c:pt>
                <c:pt idx="221">
                  <c:v>1.6297587999999998E-2</c:v>
                </c:pt>
                <c:pt idx="222">
                  <c:v>-4.7002279999999999E-3</c:v>
                </c:pt>
                <c:pt idx="223">
                  <c:v>-1.5367702E-2</c:v>
                </c:pt>
                <c:pt idx="224">
                  <c:v>4.5795269999999999E-3</c:v>
                </c:pt>
                <c:pt idx="225">
                  <c:v>-3.2090069999999998E-3</c:v>
                </c:pt>
                <c:pt idx="226">
                  <c:v>-3.1651659999999998E-2</c:v>
                </c:pt>
                <c:pt idx="227">
                  <c:v>-5.1083300000000003E-4</c:v>
                </c:pt>
                <c:pt idx="228">
                  <c:v>-7.4262540000000002E-3</c:v>
                </c:pt>
                <c:pt idx="229">
                  <c:v>4.6386450000000003E-3</c:v>
                </c:pt>
                <c:pt idx="230">
                  <c:v>5.404402E-3</c:v>
                </c:pt>
                <c:pt idx="231">
                  <c:v>-1.4976415E-2</c:v>
                </c:pt>
                <c:pt idx="232">
                  <c:v>-3.8598965999999998E-2</c:v>
                </c:pt>
                <c:pt idx="233">
                  <c:v>-8.8830330000000002E-3</c:v>
                </c:pt>
                <c:pt idx="234">
                  <c:v>3.5256817000000003E-2</c:v>
                </c:pt>
                <c:pt idx="235">
                  <c:v>1.4238624E-2</c:v>
                </c:pt>
                <c:pt idx="236">
                  <c:v>-2.7850188000000001E-2</c:v>
                </c:pt>
                <c:pt idx="237">
                  <c:v>1.3959226999999999E-2</c:v>
                </c:pt>
                <c:pt idx="238">
                  <c:v>8.5528879999999998E-3</c:v>
                </c:pt>
                <c:pt idx="239">
                  <c:v>6.8857060000000001E-3</c:v>
                </c:pt>
                <c:pt idx="240">
                  <c:v>-3.25487E-3</c:v>
                </c:pt>
                <c:pt idx="241">
                  <c:v>-2.4920602E-2</c:v>
                </c:pt>
                <c:pt idx="242">
                  <c:v>6.4182199999999997E-3</c:v>
                </c:pt>
                <c:pt idx="243">
                  <c:v>4.0451400000000002E-4</c:v>
                </c:pt>
                <c:pt idx="244">
                  <c:v>8.9272199999999998E-4</c:v>
                </c:pt>
                <c:pt idx="245">
                  <c:v>1.3399898E-2</c:v>
                </c:pt>
                <c:pt idx="246">
                  <c:v>1.5977202999999999E-2</c:v>
                </c:pt>
                <c:pt idx="247">
                  <c:v>-1.652602E-3</c:v>
                </c:pt>
                <c:pt idx="248">
                  <c:v>-1.3705988000000001E-2</c:v>
                </c:pt>
                <c:pt idx="249">
                  <c:v>-1.944185E-2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prueba!$P$2</c:f>
              <c:strCache>
                <c:ptCount val="1"/>
                <c:pt idx="0">
                  <c:v>simple sin FTSE</c:v>
                </c:pt>
              </c:strCache>
            </c:strRef>
          </c:tx>
          <c:marker>
            <c:symbol val="none"/>
          </c:marker>
          <c:cat>
            <c:numRef>
              <c:f>prueba!$A$3:$A$252</c:f>
              <c:numCache>
                <c:formatCode>[$-409]d\-mmm\-yy;@</c:formatCode>
                <c:ptCount val="250"/>
                <c:pt idx="0">
                  <c:v>40232</c:v>
                </c:pt>
                <c:pt idx="1">
                  <c:v>40233</c:v>
                </c:pt>
                <c:pt idx="2">
                  <c:v>40234</c:v>
                </c:pt>
                <c:pt idx="3">
                  <c:v>40235</c:v>
                </c:pt>
                <c:pt idx="4">
                  <c:v>40238</c:v>
                </c:pt>
                <c:pt idx="5">
                  <c:v>40239</c:v>
                </c:pt>
                <c:pt idx="6">
                  <c:v>40240</c:v>
                </c:pt>
                <c:pt idx="7">
                  <c:v>40241</c:v>
                </c:pt>
                <c:pt idx="8">
                  <c:v>40242</c:v>
                </c:pt>
                <c:pt idx="9">
                  <c:v>40245</c:v>
                </c:pt>
                <c:pt idx="10">
                  <c:v>40246</c:v>
                </c:pt>
                <c:pt idx="11">
                  <c:v>40247</c:v>
                </c:pt>
                <c:pt idx="12">
                  <c:v>40248</c:v>
                </c:pt>
                <c:pt idx="13">
                  <c:v>40249</c:v>
                </c:pt>
                <c:pt idx="14">
                  <c:v>40252</c:v>
                </c:pt>
                <c:pt idx="15">
                  <c:v>40253</c:v>
                </c:pt>
                <c:pt idx="16">
                  <c:v>40254</c:v>
                </c:pt>
                <c:pt idx="17">
                  <c:v>40255</c:v>
                </c:pt>
                <c:pt idx="18">
                  <c:v>40256</c:v>
                </c:pt>
                <c:pt idx="19">
                  <c:v>40259</c:v>
                </c:pt>
                <c:pt idx="20">
                  <c:v>40260</c:v>
                </c:pt>
                <c:pt idx="21">
                  <c:v>40261</c:v>
                </c:pt>
                <c:pt idx="22">
                  <c:v>40262</c:v>
                </c:pt>
                <c:pt idx="23">
                  <c:v>40263</c:v>
                </c:pt>
                <c:pt idx="24">
                  <c:v>40266</c:v>
                </c:pt>
                <c:pt idx="25">
                  <c:v>40267</c:v>
                </c:pt>
                <c:pt idx="26">
                  <c:v>40268</c:v>
                </c:pt>
                <c:pt idx="27">
                  <c:v>40269</c:v>
                </c:pt>
                <c:pt idx="28">
                  <c:v>40270</c:v>
                </c:pt>
                <c:pt idx="29">
                  <c:v>40273</c:v>
                </c:pt>
                <c:pt idx="30">
                  <c:v>40274</c:v>
                </c:pt>
                <c:pt idx="31">
                  <c:v>40275</c:v>
                </c:pt>
                <c:pt idx="32">
                  <c:v>40276</c:v>
                </c:pt>
                <c:pt idx="33">
                  <c:v>40277</c:v>
                </c:pt>
                <c:pt idx="34">
                  <c:v>40280</c:v>
                </c:pt>
                <c:pt idx="35">
                  <c:v>40281</c:v>
                </c:pt>
                <c:pt idx="36">
                  <c:v>40282</c:v>
                </c:pt>
                <c:pt idx="37">
                  <c:v>40283</c:v>
                </c:pt>
                <c:pt idx="38">
                  <c:v>40284</c:v>
                </c:pt>
                <c:pt idx="39">
                  <c:v>40287</c:v>
                </c:pt>
                <c:pt idx="40">
                  <c:v>40288</c:v>
                </c:pt>
                <c:pt idx="41">
                  <c:v>40289</c:v>
                </c:pt>
                <c:pt idx="42">
                  <c:v>40290</c:v>
                </c:pt>
                <c:pt idx="43">
                  <c:v>40294</c:v>
                </c:pt>
                <c:pt idx="44">
                  <c:v>40295</c:v>
                </c:pt>
                <c:pt idx="45">
                  <c:v>40296</c:v>
                </c:pt>
                <c:pt idx="46">
                  <c:v>40297</c:v>
                </c:pt>
                <c:pt idx="47">
                  <c:v>40298</c:v>
                </c:pt>
                <c:pt idx="48">
                  <c:v>40301</c:v>
                </c:pt>
                <c:pt idx="49">
                  <c:v>40302</c:v>
                </c:pt>
                <c:pt idx="50">
                  <c:v>40303</c:v>
                </c:pt>
                <c:pt idx="51">
                  <c:v>40304</c:v>
                </c:pt>
                <c:pt idx="52">
                  <c:v>40305</c:v>
                </c:pt>
                <c:pt idx="53">
                  <c:v>40308</c:v>
                </c:pt>
                <c:pt idx="54">
                  <c:v>40309</c:v>
                </c:pt>
                <c:pt idx="55">
                  <c:v>40310</c:v>
                </c:pt>
                <c:pt idx="56">
                  <c:v>40311</c:v>
                </c:pt>
                <c:pt idx="57">
                  <c:v>40312</c:v>
                </c:pt>
                <c:pt idx="58">
                  <c:v>40315</c:v>
                </c:pt>
                <c:pt idx="59">
                  <c:v>40316</c:v>
                </c:pt>
                <c:pt idx="60">
                  <c:v>40318</c:v>
                </c:pt>
                <c:pt idx="61">
                  <c:v>40319</c:v>
                </c:pt>
                <c:pt idx="62">
                  <c:v>40322</c:v>
                </c:pt>
                <c:pt idx="63">
                  <c:v>40323</c:v>
                </c:pt>
                <c:pt idx="64">
                  <c:v>40324</c:v>
                </c:pt>
                <c:pt idx="65">
                  <c:v>40325</c:v>
                </c:pt>
                <c:pt idx="66">
                  <c:v>40326</c:v>
                </c:pt>
                <c:pt idx="67">
                  <c:v>40329</c:v>
                </c:pt>
                <c:pt idx="68">
                  <c:v>40330</c:v>
                </c:pt>
                <c:pt idx="69">
                  <c:v>40331</c:v>
                </c:pt>
                <c:pt idx="70">
                  <c:v>40332</c:v>
                </c:pt>
                <c:pt idx="71">
                  <c:v>40333</c:v>
                </c:pt>
                <c:pt idx="72">
                  <c:v>40336</c:v>
                </c:pt>
                <c:pt idx="73">
                  <c:v>40337</c:v>
                </c:pt>
                <c:pt idx="74">
                  <c:v>40338</c:v>
                </c:pt>
                <c:pt idx="75">
                  <c:v>40339</c:v>
                </c:pt>
                <c:pt idx="76">
                  <c:v>40340</c:v>
                </c:pt>
                <c:pt idx="77">
                  <c:v>40343</c:v>
                </c:pt>
                <c:pt idx="78">
                  <c:v>40344</c:v>
                </c:pt>
                <c:pt idx="79">
                  <c:v>40345</c:v>
                </c:pt>
                <c:pt idx="80">
                  <c:v>40346</c:v>
                </c:pt>
                <c:pt idx="81">
                  <c:v>40347</c:v>
                </c:pt>
                <c:pt idx="82">
                  <c:v>40350</c:v>
                </c:pt>
                <c:pt idx="83">
                  <c:v>40351</c:v>
                </c:pt>
                <c:pt idx="84">
                  <c:v>40352</c:v>
                </c:pt>
                <c:pt idx="85">
                  <c:v>40353</c:v>
                </c:pt>
                <c:pt idx="86">
                  <c:v>40354</c:v>
                </c:pt>
                <c:pt idx="87">
                  <c:v>40357</c:v>
                </c:pt>
                <c:pt idx="88">
                  <c:v>40358</c:v>
                </c:pt>
                <c:pt idx="89">
                  <c:v>40359</c:v>
                </c:pt>
                <c:pt idx="90">
                  <c:v>40360</c:v>
                </c:pt>
                <c:pt idx="91">
                  <c:v>40361</c:v>
                </c:pt>
                <c:pt idx="92">
                  <c:v>40364</c:v>
                </c:pt>
                <c:pt idx="93">
                  <c:v>40365</c:v>
                </c:pt>
                <c:pt idx="94">
                  <c:v>40366</c:v>
                </c:pt>
                <c:pt idx="95">
                  <c:v>40367</c:v>
                </c:pt>
                <c:pt idx="96">
                  <c:v>40368</c:v>
                </c:pt>
                <c:pt idx="97">
                  <c:v>40371</c:v>
                </c:pt>
                <c:pt idx="98">
                  <c:v>40372</c:v>
                </c:pt>
                <c:pt idx="99">
                  <c:v>40373</c:v>
                </c:pt>
                <c:pt idx="100">
                  <c:v>40374</c:v>
                </c:pt>
                <c:pt idx="101">
                  <c:v>40375</c:v>
                </c:pt>
                <c:pt idx="102">
                  <c:v>40378</c:v>
                </c:pt>
                <c:pt idx="103">
                  <c:v>40379</c:v>
                </c:pt>
                <c:pt idx="104">
                  <c:v>40380</c:v>
                </c:pt>
                <c:pt idx="105">
                  <c:v>40381</c:v>
                </c:pt>
                <c:pt idx="106">
                  <c:v>40382</c:v>
                </c:pt>
                <c:pt idx="107">
                  <c:v>40385</c:v>
                </c:pt>
                <c:pt idx="108">
                  <c:v>40386</c:v>
                </c:pt>
                <c:pt idx="109">
                  <c:v>40387</c:v>
                </c:pt>
                <c:pt idx="110">
                  <c:v>40388</c:v>
                </c:pt>
                <c:pt idx="111">
                  <c:v>40389</c:v>
                </c:pt>
                <c:pt idx="112">
                  <c:v>40392</c:v>
                </c:pt>
                <c:pt idx="113">
                  <c:v>40393</c:v>
                </c:pt>
                <c:pt idx="114">
                  <c:v>40394</c:v>
                </c:pt>
                <c:pt idx="115">
                  <c:v>40395</c:v>
                </c:pt>
                <c:pt idx="116">
                  <c:v>40396</c:v>
                </c:pt>
                <c:pt idx="117">
                  <c:v>40399</c:v>
                </c:pt>
                <c:pt idx="118">
                  <c:v>40400</c:v>
                </c:pt>
                <c:pt idx="119">
                  <c:v>40401</c:v>
                </c:pt>
                <c:pt idx="120">
                  <c:v>40402</c:v>
                </c:pt>
                <c:pt idx="121">
                  <c:v>40403</c:v>
                </c:pt>
                <c:pt idx="122">
                  <c:v>40406</c:v>
                </c:pt>
                <c:pt idx="123">
                  <c:v>40407</c:v>
                </c:pt>
                <c:pt idx="124">
                  <c:v>40408</c:v>
                </c:pt>
                <c:pt idx="125">
                  <c:v>40409</c:v>
                </c:pt>
                <c:pt idx="126">
                  <c:v>40410</c:v>
                </c:pt>
                <c:pt idx="127">
                  <c:v>40413</c:v>
                </c:pt>
                <c:pt idx="128">
                  <c:v>40414</c:v>
                </c:pt>
                <c:pt idx="129">
                  <c:v>40415</c:v>
                </c:pt>
                <c:pt idx="130">
                  <c:v>40416</c:v>
                </c:pt>
                <c:pt idx="131">
                  <c:v>40417</c:v>
                </c:pt>
                <c:pt idx="132">
                  <c:v>40421</c:v>
                </c:pt>
                <c:pt idx="133">
                  <c:v>40422</c:v>
                </c:pt>
                <c:pt idx="134">
                  <c:v>40423</c:v>
                </c:pt>
                <c:pt idx="135">
                  <c:v>40424</c:v>
                </c:pt>
                <c:pt idx="136">
                  <c:v>40427</c:v>
                </c:pt>
                <c:pt idx="137">
                  <c:v>40428</c:v>
                </c:pt>
                <c:pt idx="138">
                  <c:v>40429</c:v>
                </c:pt>
                <c:pt idx="139">
                  <c:v>40434</c:v>
                </c:pt>
                <c:pt idx="140">
                  <c:v>40435</c:v>
                </c:pt>
                <c:pt idx="141">
                  <c:v>40436</c:v>
                </c:pt>
                <c:pt idx="142">
                  <c:v>40437</c:v>
                </c:pt>
                <c:pt idx="143">
                  <c:v>40438</c:v>
                </c:pt>
                <c:pt idx="144">
                  <c:v>40441</c:v>
                </c:pt>
                <c:pt idx="145">
                  <c:v>40442</c:v>
                </c:pt>
                <c:pt idx="146">
                  <c:v>40443</c:v>
                </c:pt>
                <c:pt idx="147">
                  <c:v>40444</c:v>
                </c:pt>
                <c:pt idx="148">
                  <c:v>40445</c:v>
                </c:pt>
                <c:pt idx="149">
                  <c:v>40448</c:v>
                </c:pt>
                <c:pt idx="150">
                  <c:v>40449</c:v>
                </c:pt>
                <c:pt idx="151">
                  <c:v>40450</c:v>
                </c:pt>
                <c:pt idx="152">
                  <c:v>40451</c:v>
                </c:pt>
                <c:pt idx="153">
                  <c:v>40452</c:v>
                </c:pt>
                <c:pt idx="154">
                  <c:v>40455</c:v>
                </c:pt>
                <c:pt idx="155">
                  <c:v>40456</c:v>
                </c:pt>
                <c:pt idx="156">
                  <c:v>40457</c:v>
                </c:pt>
                <c:pt idx="157">
                  <c:v>40458</c:v>
                </c:pt>
                <c:pt idx="158">
                  <c:v>40459</c:v>
                </c:pt>
                <c:pt idx="159">
                  <c:v>40462</c:v>
                </c:pt>
                <c:pt idx="160">
                  <c:v>40463</c:v>
                </c:pt>
                <c:pt idx="161">
                  <c:v>40464</c:v>
                </c:pt>
                <c:pt idx="162">
                  <c:v>40465</c:v>
                </c:pt>
                <c:pt idx="163">
                  <c:v>40466</c:v>
                </c:pt>
                <c:pt idx="164">
                  <c:v>40469</c:v>
                </c:pt>
                <c:pt idx="165">
                  <c:v>40470</c:v>
                </c:pt>
                <c:pt idx="166">
                  <c:v>40471</c:v>
                </c:pt>
                <c:pt idx="167">
                  <c:v>40472</c:v>
                </c:pt>
                <c:pt idx="168">
                  <c:v>40473</c:v>
                </c:pt>
                <c:pt idx="169">
                  <c:v>40476</c:v>
                </c:pt>
                <c:pt idx="170">
                  <c:v>40477</c:v>
                </c:pt>
                <c:pt idx="171">
                  <c:v>40478</c:v>
                </c:pt>
                <c:pt idx="172">
                  <c:v>40483</c:v>
                </c:pt>
                <c:pt idx="173">
                  <c:v>40484</c:v>
                </c:pt>
                <c:pt idx="174">
                  <c:v>40485</c:v>
                </c:pt>
                <c:pt idx="175">
                  <c:v>40486</c:v>
                </c:pt>
                <c:pt idx="176">
                  <c:v>40487</c:v>
                </c:pt>
                <c:pt idx="177">
                  <c:v>40490</c:v>
                </c:pt>
                <c:pt idx="178">
                  <c:v>40491</c:v>
                </c:pt>
                <c:pt idx="179">
                  <c:v>40492</c:v>
                </c:pt>
                <c:pt idx="180">
                  <c:v>40493</c:v>
                </c:pt>
                <c:pt idx="181">
                  <c:v>40494</c:v>
                </c:pt>
                <c:pt idx="182">
                  <c:v>40497</c:v>
                </c:pt>
                <c:pt idx="183">
                  <c:v>40504</c:v>
                </c:pt>
                <c:pt idx="184">
                  <c:v>40505</c:v>
                </c:pt>
                <c:pt idx="185">
                  <c:v>40506</c:v>
                </c:pt>
                <c:pt idx="186">
                  <c:v>40507</c:v>
                </c:pt>
                <c:pt idx="187">
                  <c:v>40508</c:v>
                </c:pt>
                <c:pt idx="188">
                  <c:v>40511</c:v>
                </c:pt>
                <c:pt idx="189">
                  <c:v>40512</c:v>
                </c:pt>
                <c:pt idx="190">
                  <c:v>40513</c:v>
                </c:pt>
                <c:pt idx="191">
                  <c:v>40514</c:v>
                </c:pt>
                <c:pt idx="192">
                  <c:v>40515</c:v>
                </c:pt>
                <c:pt idx="193">
                  <c:v>40518</c:v>
                </c:pt>
                <c:pt idx="194">
                  <c:v>40519</c:v>
                </c:pt>
                <c:pt idx="195">
                  <c:v>40520</c:v>
                </c:pt>
                <c:pt idx="196">
                  <c:v>40521</c:v>
                </c:pt>
                <c:pt idx="197">
                  <c:v>40522</c:v>
                </c:pt>
                <c:pt idx="198">
                  <c:v>40525</c:v>
                </c:pt>
                <c:pt idx="199">
                  <c:v>40526</c:v>
                </c:pt>
                <c:pt idx="200">
                  <c:v>40527</c:v>
                </c:pt>
                <c:pt idx="201">
                  <c:v>40528</c:v>
                </c:pt>
                <c:pt idx="202">
                  <c:v>40529</c:v>
                </c:pt>
                <c:pt idx="203">
                  <c:v>40532</c:v>
                </c:pt>
                <c:pt idx="204">
                  <c:v>40533</c:v>
                </c:pt>
                <c:pt idx="205">
                  <c:v>40534</c:v>
                </c:pt>
                <c:pt idx="206">
                  <c:v>40535</c:v>
                </c:pt>
                <c:pt idx="207">
                  <c:v>40536</c:v>
                </c:pt>
                <c:pt idx="208">
                  <c:v>40539</c:v>
                </c:pt>
                <c:pt idx="209">
                  <c:v>40540</c:v>
                </c:pt>
                <c:pt idx="210">
                  <c:v>40541</c:v>
                </c:pt>
                <c:pt idx="211">
                  <c:v>40542</c:v>
                </c:pt>
                <c:pt idx="212">
                  <c:v>40543</c:v>
                </c:pt>
                <c:pt idx="213">
                  <c:v>40546</c:v>
                </c:pt>
                <c:pt idx="214">
                  <c:v>40547</c:v>
                </c:pt>
                <c:pt idx="215">
                  <c:v>40548</c:v>
                </c:pt>
                <c:pt idx="216">
                  <c:v>40549</c:v>
                </c:pt>
                <c:pt idx="217">
                  <c:v>40550</c:v>
                </c:pt>
                <c:pt idx="218">
                  <c:v>40553</c:v>
                </c:pt>
                <c:pt idx="219">
                  <c:v>40554</c:v>
                </c:pt>
                <c:pt idx="220">
                  <c:v>40555</c:v>
                </c:pt>
                <c:pt idx="221">
                  <c:v>40556</c:v>
                </c:pt>
                <c:pt idx="222">
                  <c:v>40557</c:v>
                </c:pt>
                <c:pt idx="223">
                  <c:v>40560</c:v>
                </c:pt>
                <c:pt idx="224">
                  <c:v>40561</c:v>
                </c:pt>
                <c:pt idx="225">
                  <c:v>40562</c:v>
                </c:pt>
                <c:pt idx="226">
                  <c:v>40563</c:v>
                </c:pt>
                <c:pt idx="227">
                  <c:v>40564</c:v>
                </c:pt>
                <c:pt idx="228">
                  <c:v>40567</c:v>
                </c:pt>
                <c:pt idx="229">
                  <c:v>40568</c:v>
                </c:pt>
                <c:pt idx="230">
                  <c:v>40569</c:v>
                </c:pt>
                <c:pt idx="231">
                  <c:v>40570</c:v>
                </c:pt>
                <c:pt idx="232">
                  <c:v>40571</c:v>
                </c:pt>
                <c:pt idx="233">
                  <c:v>40574</c:v>
                </c:pt>
                <c:pt idx="234">
                  <c:v>40575</c:v>
                </c:pt>
                <c:pt idx="235">
                  <c:v>40576</c:v>
                </c:pt>
                <c:pt idx="236">
                  <c:v>40577</c:v>
                </c:pt>
                <c:pt idx="237">
                  <c:v>40578</c:v>
                </c:pt>
                <c:pt idx="238">
                  <c:v>40581</c:v>
                </c:pt>
                <c:pt idx="239">
                  <c:v>40582</c:v>
                </c:pt>
                <c:pt idx="240">
                  <c:v>40583</c:v>
                </c:pt>
                <c:pt idx="241">
                  <c:v>40584</c:v>
                </c:pt>
                <c:pt idx="242">
                  <c:v>40585</c:v>
                </c:pt>
                <c:pt idx="243">
                  <c:v>40588</c:v>
                </c:pt>
                <c:pt idx="244">
                  <c:v>40589</c:v>
                </c:pt>
                <c:pt idx="245">
                  <c:v>40590</c:v>
                </c:pt>
                <c:pt idx="246">
                  <c:v>40591</c:v>
                </c:pt>
                <c:pt idx="247">
                  <c:v>40592</c:v>
                </c:pt>
                <c:pt idx="248">
                  <c:v>40595</c:v>
                </c:pt>
                <c:pt idx="249">
                  <c:v>40596</c:v>
                </c:pt>
              </c:numCache>
            </c:numRef>
          </c:cat>
          <c:val>
            <c:numRef>
              <c:f>prueba!$P$3:$P$252</c:f>
              <c:numCache>
                <c:formatCode>General</c:formatCode>
                <c:ptCount val="250"/>
                <c:pt idx="0">
                  <c:v>-4.4878409266693037E-3</c:v>
                </c:pt>
                <c:pt idx="1">
                  <c:v>-1.6245868104588063E-3</c:v>
                </c:pt>
                <c:pt idx="2">
                  <c:v>-1.6017923926270276E-2</c:v>
                </c:pt>
                <c:pt idx="3">
                  <c:v>1.5378053234384055E-2</c:v>
                </c:pt>
                <c:pt idx="4">
                  <c:v>1.8376710407315786E-2</c:v>
                </c:pt>
                <c:pt idx="5">
                  <c:v>1.3335576676257973E-2</c:v>
                </c:pt>
                <c:pt idx="6">
                  <c:v>1.0245276832011792E-2</c:v>
                </c:pt>
                <c:pt idx="7">
                  <c:v>-3.9792465362767995E-3</c:v>
                </c:pt>
                <c:pt idx="8">
                  <c:v>1.936147982414094E-2</c:v>
                </c:pt>
                <c:pt idx="9">
                  <c:v>1.4025876230663117E-2</c:v>
                </c:pt>
                <c:pt idx="10">
                  <c:v>-1.9687333826462964E-3</c:v>
                </c:pt>
                <c:pt idx="11">
                  <c:v>7.3658940694172857E-3</c:v>
                </c:pt>
                <c:pt idx="12">
                  <c:v>-1.6732951445435546E-3</c:v>
                </c:pt>
                <c:pt idx="13">
                  <c:v>4.875950740225809E-3</c:v>
                </c:pt>
                <c:pt idx="14">
                  <c:v>-8.5459753687782847E-3</c:v>
                </c:pt>
                <c:pt idx="15">
                  <c:v>9.299044240377731E-3</c:v>
                </c:pt>
                <c:pt idx="16">
                  <c:v>1.8374223140927803E-2</c:v>
                </c:pt>
                <c:pt idx="17">
                  <c:v>-1.48655109057647E-3</c:v>
                </c:pt>
                <c:pt idx="18">
                  <c:v>2.2073010907006597E-3</c:v>
                </c:pt>
                <c:pt idx="19">
                  <c:v>-6.1898558222064394E-3</c:v>
                </c:pt>
                <c:pt idx="20">
                  <c:v>6.3064471233433353E-3</c:v>
                </c:pt>
                <c:pt idx="21">
                  <c:v>1.9914850800711054E-3</c:v>
                </c:pt>
                <c:pt idx="22">
                  <c:v>8.2972194635728986E-3</c:v>
                </c:pt>
                <c:pt idx="23">
                  <c:v>3.5668732598591033E-3</c:v>
                </c:pt>
                <c:pt idx="24">
                  <c:v>3.7529021523845219E-3</c:v>
                </c:pt>
                <c:pt idx="25">
                  <c:v>2.6868951905715819E-3</c:v>
                </c:pt>
                <c:pt idx="26">
                  <c:v>-3.0083685664465385E-3</c:v>
                </c:pt>
                <c:pt idx="27">
                  <c:v>1.992870796000001E-2</c:v>
                </c:pt>
                <c:pt idx="28">
                  <c:v>3.1494106720464975E-3</c:v>
                </c:pt>
                <c:pt idx="29">
                  <c:v>5.803081506505027E-3</c:v>
                </c:pt>
                <c:pt idx="30">
                  <c:v>7.7511212865627437E-3</c:v>
                </c:pt>
                <c:pt idx="31">
                  <c:v>2.3712284875038038E-3</c:v>
                </c:pt>
                <c:pt idx="32">
                  <c:v>-1.2197665558847791E-2</c:v>
                </c:pt>
                <c:pt idx="33">
                  <c:v>1.5417442218242809E-2</c:v>
                </c:pt>
                <c:pt idx="34">
                  <c:v>1.459888695319871E-3</c:v>
                </c:pt>
                <c:pt idx="35">
                  <c:v>-5.72663383021778E-3</c:v>
                </c:pt>
                <c:pt idx="36">
                  <c:v>1.2751042909211798E-2</c:v>
                </c:pt>
                <c:pt idx="37">
                  <c:v>5.9936083614205368E-3</c:v>
                </c:pt>
                <c:pt idx="38">
                  <c:v>-1.8567132138078115E-2</c:v>
                </c:pt>
                <c:pt idx="39">
                  <c:v>-1.6379999176791685E-2</c:v>
                </c:pt>
                <c:pt idx="40">
                  <c:v>1.6552094422348795E-2</c:v>
                </c:pt>
                <c:pt idx="41">
                  <c:v>-7.7179867296342389E-4</c:v>
                </c:pt>
                <c:pt idx="42">
                  <c:v>-1.0233493325119733E-2</c:v>
                </c:pt>
                <c:pt idx="43">
                  <c:v>2.2205527730494883E-2</c:v>
                </c:pt>
                <c:pt idx="44">
                  <c:v>-2.0109653077998047E-2</c:v>
                </c:pt>
                <c:pt idx="45">
                  <c:v>-1.6792643751159641E-2</c:v>
                </c:pt>
                <c:pt idx="46">
                  <c:v>8.4789660056337861E-3</c:v>
                </c:pt>
                <c:pt idx="47">
                  <c:v>8.2217237021964653E-4</c:v>
                </c:pt>
                <c:pt idx="48">
                  <c:v>-5.0519111440826252E-3</c:v>
                </c:pt>
                <c:pt idx="49">
                  <c:v>-2.2513637894347457E-2</c:v>
                </c:pt>
                <c:pt idx="50">
                  <c:v>-2.106134786660056E-2</c:v>
                </c:pt>
                <c:pt idx="51">
                  <c:v>-2.0709292869463717E-2</c:v>
                </c:pt>
                <c:pt idx="52">
                  <c:v>-3.4840629952207602E-2</c:v>
                </c:pt>
                <c:pt idx="53">
                  <c:v>6.0915052862452579E-2</c:v>
                </c:pt>
                <c:pt idx="54">
                  <c:v>-6.9316770845882884E-3</c:v>
                </c:pt>
                <c:pt idx="55">
                  <c:v>1.3021682426291014E-2</c:v>
                </c:pt>
                <c:pt idx="56">
                  <c:v>9.9751194828084366E-3</c:v>
                </c:pt>
                <c:pt idx="57">
                  <c:v>-2.7890107871637766E-2</c:v>
                </c:pt>
                <c:pt idx="58">
                  <c:v>-1.1719324265906956E-2</c:v>
                </c:pt>
                <c:pt idx="59">
                  <c:v>1.3978339729101879E-2</c:v>
                </c:pt>
                <c:pt idx="60">
                  <c:v>-5.5817832760548025E-2</c:v>
                </c:pt>
                <c:pt idx="61">
                  <c:v>-7.7616991504384381E-3</c:v>
                </c:pt>
                <c:pt idx="62">
                  <c:v>4.6049639910449641E-3</c:v>
                </c:pt>
                <c:pt idx="63">
                  <c:v>-3.9716984147921554E-2</c:v>
                </c:pt>
                <c:pt idx="64">
                  <c:v>2.8096730742329334E-2</c:v>
                </c:pt>
                <c:pt idx="65">
                  <c:v>3.1503429781304007E-2</c:v>
                </c:pt>
                <c:pt idx="66">
                  <c:v>7.2953547352536414E-3</c:v>
                </c:pt>
                <c:pt idx="67">
                  <c:v>4.1232012116016788E-3</c:v>
                </c:pt>
                <c:pt idx="68">
                  <c:v>-1.0819262100900893E-2</c:v>
                </c:pt>
                <c:pt idx="69">
                  <c:v>2.5144586829209058E-3</c:v>
                </c:pt>
                <c:pt idx="70">
                  <c:v>2.8241891106128309E-2</c:v>
                </c:pt>
                <c:pt idx="71">
                  <c:v>-2.2616655455965876E-2</c:v>
                </c:pt>
                <c:pt idx="72">
                  <c:v>-2.2796799353501453E-2</c:v>
                </c:pt>
                <c:pt idx="73">
                  <c:v>-4.3475888439693487E-3</c:v>
                </c:pt>
                <c:pt idx="74">
                  <c:v>1.1694397261347644E-2</c:v>
                </c:pt>
                <c:pt idx="75">
                  <c:v>1.7573019759681764E-2</c:v>
                </c:pt>
                <c:pt idx="76">
                  <c:v>1.3691271640169065E-2</c:v>
                </c:pt>
                <c:pt idx="77">
                  <c:v>1.6988175822331631E-2</c:v>
                </c:pt>
                <c:pt idx="78">
                  <c:v>1.1089178991500914E-2</c:v>
                </c:pt>
                <c:pt idx="79">
                  <c:v>4.8423351898465791E-3</c:v>
                </c:pt>
                <c:pt idx="80">
                  <c:v>5.4266393890468022E-3</c:v>
                </c:pt>
                <c:pt idx="81">
                  <c:v>5.2777124647242334E-3</c:v>
                </c:pt>
                <c:pt idx="82">
                  <c:v>2.3044068604144086E-2</c:v>
                </c:pt>
                <c:pt idx="83">
                  <c:v>-1.3621416925788794E-2</c:v>
                </c:pt>
                <c:pt idx="84">
                  <c:v>-1.2117236336612091E-2</c:v>
                </c:pt>
                <c:pt idx="85">
                  <c:v>-1.2730840522110013E-2</c:v>
                </c:pt>
                <c:pt idx="86">
                  <c:v>-1.0812731000220333E-2</c:v>
                </c:pt>
                <c:pt idx="87">
                  <c:v>8.5442292607090745E-3</c:v>
                </c:pt>
                <c:pt idx="88">
                  <c:v>-3.4574248287134277E-2</c:v>
                </c:pt>
                <c:pt idx="89">
                  <c:v>-2.5620833721782862E-3</c:v>
                </c:pt>
                <c:pt idx="90">
                  <c:v>-2.2096404325473107E-2</c:v>
                </c:pt>
                <c:pt idx="91">
                  <c:v>2.6875746211924081E-3</c:v>
                </c:pt>
                <c:pt idx="92">
                  <c:v>2.0432249486838777E-3</c:v>
                </c:pt>
                <c:pt idx="93">
                  <c:v>2.6600655731205035E-2</c:v>
                </c:pt>
                <c:pt idx="94">
                  <c:v>8.1611020681457858E-3</c:v>
                </c:pt>
                <c:pt idx="95">
                  <c:v>1.8433592211564449E-2</c:v>
                </c:pt>
                <c:pt idx="96">
                  <c:v>1.6657196877528833E-2</c:v>
                </c:pt>
                <c:pt idx="97">
                  <c:v>5.4337141348899543E-3</c:v>
                </c:pt>
                <c:pt idx="98">
                  <c:v>1.4523130046785099E-2</c:v>
                </c:pt>
                <c:pt idx="99">
                  <c:v>7.4882771097058813E-3</c:v>
                </c:pt>
                <c:pt idx="100">
                  <c:v>-9.5920596604019415E-3</c:v>
                </c:pt>
                <c:pt idx="101">
                  <c:v>-1.533322356546306E-2</c:v>
                </c:pt>
                <c:pt idx="102">
                  <c:v>-5.0478813388697454E-3</c:v>
                </c:pt>
                <c:pt idx="103">
                  <c:v>2.8830923760741795E-3</c:v>
                </c:pt>
                <c:pt idx="104">
                  <c:v>1.3319590900646829E-2</c:v>
                </c:pt>
                <c:pt idx="105">
                  <c:v>1.6303405122956145E-2</c:v>
                </c:pt>
                <c:pt idx="106">
                  <c:v>9.091549148140865E-3</c:v>
                </c:pt>
                <c:pt idx="107">
                  <c:v>8.9380483771891155E-3</c:v>
                </c:pt>
                <c:pt idx="108">
                  <c:v>5.2334282106001797E-3</c:v>
                </c:pt>
                <c:pt idx="109">
                  <c:v>-1.0280640381800073E-4</c:v>
                </c:pt>
                <c:pt idx="110">
                  <c:v>-7.8295563555517869E-4</c:v>
                </c:pt>
                <c:pt idx="111">
                  <c:v>-9.8463123307460428E-3</c:v>
                </c:pt>
                <c:pt idx="112">
                  <c:v>3.0062192551223246E-2</c:v>
                </c:pt>
                <c:pt idx="113">
                  <c:v>1.4393410507889748E-3</c:v>
                </c:pt>
                <c:pt idx="114">
                  <c:v>8.5077446486327645E-4</c:v>
                </c:pt>
                <c:pt idx="115">
                  <c:v>-9.7596492592210218E-5</c:v>
                </c:pt>
                <c:pt idx="116">
                  <c:v>-5.6918261971709103E-3</c:v>
                </c:pt>
                <c:pt idx="117">
                  <c:v>1.3358102887616529E-2</c:v>
                </c:pt>
                <c:pt idx="118">
                  <c:v>-1.1059213053213666E-2</c:v>
                </c:pt>
                <c:pt idx="119">
                  <c:v>-2.7181422210949709E-2</c:v>
                </c:pt>
                <c:pt idx="120">
                  <c:v>-5.7614234976585948E-3</c:v>
                </c:pt>
                <c:pt idx="121">
                  <c:v>4.2989247874679736E-3</c:v>
                </c:pt>
                <c:pt idx="122">
                  <c:v>1.4559061154392487E-3</c:v>
                </c:pt>
                <c:pt idx="123">
                  <c:v>1.1504964814046927E-2</c:v>
                </c:pt>
                <c:pt idx="124">
                  <c:v>-6.6252140897839098E-4</c:v>
                </c:pt>
                <c:pt idx="125">
                  <c:v>-5.3493912886892429E-3</c:v>
                </c:pt>
                <c:pt idx="126">
                  <c:v>-8.0799380094976007E-3</c:v>
                </c:pt>
                <c:pt idx="127">
                  <c:v>5.1198814215926963E-3</c:v>
                </c:pt>
                <c:pt idx="128">
                  <c:v>-1.6823012494604116E-2</c:v>
                </c:pt>
                <c:pt idx="129">
                  <c:v>-1.3063882604256881E-2</c:v>
                </c:pt>
                <c:pt idx="130">
                  <c:v>9.2442587818659765E-3</c:v>
                </c:pt>
                <c:pt idx="131">
                  <c:v>6.4894409970184079E-3</c:v>
                </c:pt>
                <c:pt idx="132">
                  <c:v>1.8664492466787279E-3</c:v>
                </c:pt>
                <c:pt idx="133">
                  <c:v>2.8555969017637375E-2</c:v>
                </c:pt>
                <c:pt idx="134">
                  <c:v>8.8355342053059033E-3</c:v>
                </c:pt>
                <c:pt idx="135">
                  <c:v>1.4432090407639903E-2</c:v>
                </c:pt>
                <c:pt idx="136">
                  <c:v>9.3591883792758495E-3</c:v>
                </c:pt>
                <c:pt idx="137">
                  <c:v>-4.4564654482904444E-3</c:v>
                </c:pt>
                <c:pt idx="138">
                  <c:v>1.8974495699245267E-4</c:v>
                </c:pt>
                <c:pt idx="139">
                  <c:v>3.3447406718956171E-2</c:v>
                </c:pt>
                <c:pt idx="140">
                  <c:v>2.5874684156022656E-3</c:v>
                </c:pt>
                <c:pt idx="141">
                  <c:v>3.0471780236042117E-3</c:v>
                </c:pt>
                <c:pt idx="142">
                  <c:v>-3.8310676810794368E-3</c:v>
                </c:pt>
                <c:pt idx="143">
                  <c:v>4.8360673405115889E-3</c:v>
                </c:pt>
                <c:pt idx="144">
                  <c:v>1.3342335205754832E-2</c:v>
                </c:pt>
                <c:pt idx="145">
                  <c:v>2.0176603312617417E-3</c:v>
                </c:pt>
                <c:pt idx="146">
                  <c:v>-7.4976185407566679E-3</c:v>
                </c:pt>
                <c:pt idx="147">
                  <c:v>-5.5077525830493392E-3</c:v>
                </c:pt>
                <c:pt idx="148">
                  <c:v>1.549166885264802E-2</c:v>
                </c:pt>
                <c:pt idx="149">
                  <c:v>1.4146889471368779E-3</c:v>
                </c:pt>
                <c:pt idx="150">
                  <c:v>-1.6169104892303642E-3</c:v>
                </c:pt>
                <c:pt idx="151">
                  <c:v>5.1450030436280721E-3</c:v>
                </c:pt>
                <c:pt idx="152">
                  <c:v>4.4370914944527389E-4</c:v>
                </c:pt>
                <c:pt idx="153">
                  <c:v>3.9306180964770046E-3</c:v>
                </c:pt>
                <c:pt idx="154">
                  <c:v>-6.9886647223923624E-4</c:v>
                </c:pt>
                <c:pt idx="155">
                  <c:v>1.4256261826200201E-2</c:v>
                </c:pt>
                <c:pt idx="156">
                  <c:v>1.4406858469046999E-2</c:v>
                </c:pt>
                <c:pt idx="157">
                  <c:v>-1.7137807501393125E-3</c:v>
                </c:pt>
                <c:pt idx="158">
                  <c:v>-2.1016079092749983E-3</c:v>
                </c:pt>
                <c:pt idx="159">
                  <c:v>3.700987902059472E-3</c:v>
                </c:pt>
                <c:pt idx="160">
                  <c:v>-6.9017988930429128E-3</c:v>
                </c:pt>
                <c:pt idx="161">
                  <c:v>2.3103999053003258E-2</c:v>
                </c:pt>
                <c:pt idx="162">
                  <c:v>5.0683219532868598E-3</c:v>
                </c:pt>
                <c:pt idx="163">
                  <c:v>-3.794491692413931E-3</c:v>
                </c:pt>
                <c:pt idx="164">
                  <c:v>-2.8272610341812179E-4</c:v>
                </c:pt>
                <c:pt idx="165">
                  <c:v>-1.8338695291821579E-3</c:v>
                </c:pt>
                <c:pt idx="166">
                  <c:v>1.9472705212346293E-3</c:v>
                </c:pt>
                <c:pt idx="167">
                  <c:v>1.3781896799435426E-2</c:v>
                </c:pt>
                <c:pt idx="168">
                  <c:v>9.6085009091532374E-4</c:v>
                </c:pt>
                <c:pt idx="169">
                  <c:v>8.8928914354064938E-3</c:v>
                </c:pt>
                <c:pt idx="170">
                  <c:v>-4.8116618929720748E-3</c:v>
                </c:pt>
                <c:pt idx="171">
                  <c:v>-1.2726603300833587E-2</c:v>
                </c:pt>
                <c:pt idx="172">
                  <c:v>1.1338973340285686E-2</c:v>
                </c:pt>
                <c:pt idx="173">
                  <c:v>5.9702310604350488E-3</c:v>
                </c:pt>
                <c:pt idx="174">
                  <c:v>6.0990394297905856E-3</c:v>
                </c:pt>
                <c:pt idx="175">
                  <c:v>1.9248457633727747E-2</c:v>
                </c:pt>
                <c:pt idx="176">
                  <c:v>8.6576412735332158E-3</c:v>
                </c:pt>
                <c:pt idx="177">
                  <c:v>3.2243615316357075E-3</c:v>
                </c:pt>
                <c:pt idx="178">
                  <c:v>5.2822424309730033E-3</c:v>
                </c:pt>
                <c:pt idx="179">
                  <c:v>-5.1367161754851259E-3</c:v>
                </c:pt>
                <c:pt idx="180">
                  <c:v>-7.0121743087459901E-3</c:v>
                </c:pt>
                <c:pt idx="181">
                  <c:v>-1.1102201100558019E-2</c:v>
                </c:pt>
                <c:pt idx="182">
                  <c:v>7.3602434492384215E-3</c:v>
                </c:pt>
                <c:pt idx="183">
                  <c:v>-7.3010941493018584E-3</c:v>
                </c:pt>
                <c:pt idx="184">
                  <c:v>-2.1000513513695071E-2</c:v>
                </c:pt>
                <c:pt idx="185">
                  <c:v>7.0640800984766144E-3</c:v>
                </c:pt>
                <c:pt idx="186">
                  <c:v>4.9897641874607108E-3</c:v>
                </c:pt>
                <c:pt idx="187">
                  <c:v>-6.627489328148788E-3</c:v>
                </c:pt>
                <c:pt idx="188">
                  <c:v>-7.8821088570312052E-3</c:v>
                </c:pt>
                <c:pt idx="189">
                  <c:v>-8.6763401340837019E-3</c:v>
                </c:pt>
                <c:pt idx="190">
                  <c:v>2.5259184531597197E-2</c:v>
                </c:pt>
                <c:pt idx="191">
                  <c:v>2.6174785834637487E-2</c:v>
                </c:pt>
                <c:pt idx="192">
                  <c:v>1.8870415357838434E-3</c:v>
                </c:pt>
                <c:pt idx="193">
                  <c:v>4.3914790472186719E-3</c:v>
                </c:pt>
                <c:pt idx="194">
                  <c:v>7.6527269839639402E-3</c:v>
                </c:pt>
                <c:pt idx="195">
                  <c:v>1.1447947507958784E-3</c:v>
                </c:pt>
                <c:pt idx="196">
                  <c:v>5.8794469133869685E-3</c:v>
                </c:pt>
                <c:pt idx="197">
                  <c:v>-1.3509690702413371E-3</c:v>
                </c:pt>
                <c:pt idx="198">
                  <c:v>6.9045399898493391E-3</c:v>
                </c:pt>
                <c:pt idx="199">
                  <c:v>7.7918036510833642E-3</c:v>
                </c:pt>
                <c:pt idx="200">
                  <c:v>-3.0831222690043346E-3</c:v>
                </c:pt>
                <c:pt idx="201">
                  <c:v>-3.5518102845026427E-4</c:v>
                </c:pt>
                <c:pt idx="202">
                  <c:v>-6.2086860720413171E-5</c:v>
                </c:pt>
                <c:pt idx="203">
                  <c:v>2.4553721684195374E-3</c:v>
                </c:pt>
                <c:pt idx="204">
                  <c:v>1.4516628606284302E-2</c:v>
                </c:pt>
                <c:pt idx="205">
                  <c:v>2.450454248168418E-3</c:v>
                </c:pt>
                <c:pt idx="206">
                  <c:v>7.5558401741348668E-4</c:v>
                </c:pt>
                <c:pt idx="207">
                  <c:v>2.6352274152103066E-3</c:v>
                </c:pt>
                <c:pt idx="208">
                  <c:v>-4.3069684530058217E-3</c:v>
                </c:pt>
                <c:pt idx="209">
                  <c:v>-3.297492760903349E-4</c:v>
                </c:pt>
                <c:pt idx="210">
                  <c:v>6.4579396237086899E-3</c:v>
                </c:pt>
                <c:pt idx="211">
                  <c:v>-3.3943670049835068E-3</c:v>
                </c:pt>
                <c:pt idx="212">
                  <c:v>-1.4785924869126468E-3</c:v>
                </c:pt>
                <c:pt idx="213">
                  <c:v>1.6051842410907451E-2</c:v>
                </c:pt>
                <c:pt idx="214">
                  <c:v>7.8956450735893063E-3</c:v>
                </c:pt>
                <c:pt idx="215">
                  <c:v>-2.5563008534453613E-3</c:v>
                </c:pt>
                <c:pt idx="216">
                  <c:v>7.507188638145334E-4</c:v>
                </c:pt>
                <c:pt idx="217">
                  <c:v>-6.6420789347221704E-3</c:v>
                </c:pt>
                <c:pt idx="218">
                  <c:v>-1.1458984571720275E-2</c:v>
                </c:pt>
                <c:pt idx="219">
                  <c:v>1.2322034374446195E-2</c:v>
                </c:pt>
                <c:pt idx="220">
                  <c:v>1.6990615536499321E-2</c:v>
                </c:pt>
                <c:pt idx="221">
                  <c:v>2.8376482602516101E-3</c:v>
                </c:pt>
                <c:pt idx="222">
                  <c:v>3.4265672239421042E-4</c:v>
                </c:pt>
                <c:pt idx="223">
                  <c:v>-3.0460929630913461E-3</c:v>
                </c:pt>
                <c:pt idx="224">
                  <c:v>8.7345741152703715E-3</c:v>
                </c:pt>
                <c:pt idx="225">
                  <c:v>-1.7332067219810844E-3</c:v>
                </c:pt>
                <c:pt idx="226">
                  <c:v>-1.389279308499658E-2</c:v>
                </c:pt>
                <c:pt idx="227">
                  <c:v>3.7266820327780262E-4</c:v>
                </c:pt>
                <c:pt idx="228">
                  <c:v>2.8367200949164454E-3</c:v>
                </c:pt>
                <c:pt idx="229">
                  <c:v>1.7471932439441984E-3</c:v>
                </c:pt>
                <c:pt idx="230">
                  <c:v>9.972812685962321E-3</c:v>
                </c:pt>
                <c:pt idx="231">
                  <c:v>4.6858926327453931E-3</c:v>
                </c:pt>
                <c:pt idx="232">
                  <c:v>-1.2396379607757838E-2</c:v>
                </c:pt>
                <c:pt idx="233">
                  <c:v>-5.2338885287474858E-3</c:v>
                </c:pt>
                <c:pt idx="234">
                  <c:v>1.3050173307406076E-2</c:v>
                </c:pt>
                <c:pt idx="235">
                  <c:v>1.1655524880933216E-2</c:v>
                </c:pt>
                <c:pt idx="236">
                  <c:v>-5.3154103138489616E-4</c:v>
                </c:pt>
                <c:pt idx="237">
                  <c:v>7.4182815425913179E-3</c:v>
                </c:pt>
                <c:pt idx="238">
                  <c:v>3.4345579128077144E-3</c:v>
                </c:pt>
                <c:pt idx="239">
                  <c:v>-1.8344002190782221E-3</c:v>
                </c:pt>
                <c:pt idx="240">
                  <c:v>-8.1725632667861373E-3</c:v>
                </c:pt>
                <c:pt idx="241">
                  <c:v>-1.7186183971248829E-2</c:v>
                </c:pt>
                <c:pt idx="242">
                  <c:v>4.2130732133201449E-3</c:v>
                </c:pt>
                <c:pt idx="243">
                  <c:v>1.0817824642190147E-2</c:v>
                </c:pt>
                <c:pt idx="244">
                  <c:v>9.0479862278947977E-6</c:v>
                </c:pt>
                <c:pt idx="245">
                  <c:v>4.5042809169672871E-3</c:v>
                </c:pt>
                <c:pt idx="246">
                  <c:v>2.0207010369995954E-3</c:v>
                </c:pt>
                <c:pt idx="247">
                  <c:v>6.6957952935773613E-3</c:v>
                </c:pt>
                <c:pt idx="248">
                  <c:v>-6.3842084777405821E-3</c:v>
                </c:pt>
                <c:pt idx="249">
                  <c:v>-1.4034448577019911E-2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463488"/>
        <c:axId val="198465024"/>
      </c:lineChart>
      <c:dateAx>
        <c:axId val="198463488"/>
        <c:scaling>
          <c:orientation val="minMax"/>
        </c:scaling>
        <c:delete val="0"/>
        <c:axPos val="b"/>
        <c:numFmt formatCode="[$-409]d\-mmm\-yy;@" sourceLinked="1"/>
        <c:majorTickMark val="none"/>
        <c:minorTickMark val="none"/>
        <c:tickLblPos val="nextTo"/>
        <c:crossAx val="198465024"/>
        <c:crosses val="autoZero"/>
        <c:auto val="1"/>
        <c:lblOffset val="100"/>
        <c:baseTimeUnit val="days"/>
      </c:dateAx>
      <c:valAx>
        <c:axId val="19846502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846348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ico3"/>
  <sheetViews>
    <sheetView zoomScale="79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ico4"/>
  <sheetViews>
    <sheetView zoomScale="79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ico5"/>
  <sheetViews>
    <sheetView zoomScale="79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áfico6"/>
  <sheetViews>
    <sheetView zoomScale="79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Gráfico7"/>
  <sheetViews>
    <sheetView zoomScale="7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6899" cy="6269620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6899" cy="6269620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6899" cy="6269620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6899" cy="6269620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6899" cy="6269620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H288"/>
  <sheetViews>
    <sheetView topLeftCell="N21" workbookViewId="0">
      <selection activeCell="T42" sqref="T42"/>
    </sheetView>
  </sheetViews>
  <sheetFormatPr baseColWidth="10" defaultColWidth="8.85546875" defaultRowHeight="15" x14ac:dyDescent="0.25"/>
  <cols>
    <col min="1" max="1" width="10.42578125" customWidth="1"/>
    <col min="2" max="2" width="9.7109375" customWidth="1"/>
    <col min="3" max="3" width="11.42578125" customWidth="1"/>
    <col min="15" max="15" width="10.140625" bestFit="1" customWidth="1"/>
    <col min="16" max="17" width="10.140625" customWidth="1"/>
    <col min="27" max="27" width="9.5703125" bestFit="1" customWidth="1"/>
    <col min="28" max="28" width="9.42578125" bestFit="1" customWidth="1"/>
    <col min="29" max="29" width="11" bestFit="1" customWidth="1"/>
    <col min="30" max="33" width="9" bestFit="1" customWidth="1"/>
  </cols>
  <sheetData>
    <row r="1" spans="1:25" x14ac:dyDescent="0.25">
      <c r="B1" s="5" t="s">
        <v>10</v>
      </c>
      <c r="C1" s="5" t="s">
        <v>11</v>
      </c>
      <c r="D1" s="6" t="s">
        <v>0</v>
      </c>
      <c r="E1" s="6"/>
      <c r="F1" s="6"/>
      <c r="G1" s="6"/>
      <c r="H1" s="6"/>
      <c r="I1" s="6"/>
      <c r="J1" s="6"/>
    </row>
    <row r="2" spans="1:25" x14ac:dyDescent="0.25">
      <c r="A2" s="3" t="s">
        <v>1</v>
      </c>
      <c r="B2" s="4" t="s">
        <v>2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7</v>
      </c>
      <c r="I2" s="4" t="s">
        <v>8</v>
      </c>
      <c r="J2" s="4" t="s">
        <v>9</v>
      </c>
      <c r="K2" s="7" t="s">
        <v>2</v>
      </c>
      <c r="L2" s="7" t="s">
        <v>15</v>
      </c>
      <c r="M2" s="7" t="s">
        <v>16</v>
      </c>
      <c r="N2" s="7" t="s">
        <v>17</v>
      </c>
      <c r="O2" s="7" t="s">
        <v>18</v>
      </c>
      <c r="P2" s="7" t="s">
        <v>30</v>
      </c>
      <c r="Q2" s="7"/>
    </row>
    <row r="3" spans="1:25" x14ac:dyDescent="0.25">
      <c r="A3" s="2">
        <v>39818</v>
      </c>
      <c r="B3">
        <v>3.5753708000000002E-2</v>
      </c>
      <c r="C3">
        <v>3.8376186999999999E-2</v>
      </c>
      <c r="D3">
        <v>-4.6793149999999999E-3</v>
      </c>
      <c r="E3">
        <v>2.1934189999999998E-3</v>
      </c>
      <c r="F3">
        <v>3.8943760000000002E-3</v>
      </c>
      <c r="G3">
        <v>0</v>
      </c>
      <c r="H3">
        <v>3.1190229E-2</v>
      </c>
      <c r="I3">
        <v>1.2698039E-2</v>
      </c>
      <c r="J3">
        <v>2.8524462E-2</v>
      </c>
      <c r="K3">
        <v>3.8376186999999999E-2</v>
      </c>
      <c r="L3">
        <f>SUMPRODUCT(D3:J3,$R$8:$X$8)+$Y$8</f>
        <v>3.1696926005903535E-2</v>
      </c>
      <c r="M3">
        <f>SUMPRODUCT(D3:J3,$R$16:$X$16)+$Y$16</f>
        <v>8.6576987362168081E-3</v>
      </c>
      <c r="N3">
        <f>SUMPRODUCT(D3:J3,$R$24:$X$24)+$Y$24</f>
        <v>2.7180396174285602E-2</v>
      </c>
      <c r="O3">
        <f>SUMPRODUCT(D3:J3,$R$32:$X$32)+$Y$32</f>
        <v>1.5744081030110432E-2</v>
      </c>
      <c r="P3">
        <f>SUMPRODUCT(D3:J3,$R$40:$X$40)+$Y$40</f>
        <v>2.6899495645173549E-2</v>
      </c>
      <c r="R3" t="s">
        <v>27</v>
      </c>
      <c r="S3">
        <v>286</v>
      </c>
    </row>
    <row r="4" spans="1:25" x14ac:dyDescent="0.25">
      <c r="A4" s="2">
        <v>39819</v>
      </c>
      <c r="B4">
        <v>2.5425873000000002E-2</v>
      </c>
      <c r="C4">
        <v>3.1812742999999997E-2</v>
      </c>
      <c r="D4">
        <v>7.7867379999999996E-3</v>
      </c>
      <c r="E4">
        <v>8.4553409999999999E-3</v>
      </c>
      <c r="F4">
        <v>1.2865611000000001E-2</v>
      </c>
      <c r="G4">
        <v>4.1624519999999996E-3</v>
      </c>
      <c r="H4">
        <v>1.8919579999999998E-2</v>
      </c>
      <c r="I4">
        <v>1.1340652E-2</v>
      </c>
      <c r="J4">
        <v>8.7726439999999996E-3</v>
      </c>
      <c r="K4">
        <v>3.1812742999999997E-2</v>
      </c>
      <c r="L4">
        <f t="shared" ref="L4:L67" si="0">SUMPRODUCT(D4:J4,$R$8:$X$8)+$Y$8</f>
        <v>1.1523551717433439E-2</v>
      </c>
      <c r="M4">
        <f t="shared" ref="M4:M67" si="1">SUMPRODUCT(D4:J4,$R$16:$X$16)+$Y$16</f>
        <v>8.2897401442663995E-3</v>
      </c>
      <c r="N4">
        <f t="shared" ref="N4:N67" si="2">SUMPRODUCT(D4:J4,$R$24:$X$24)+$Y$24</f>
        <v>1.3190541712383239E-2</v>
      </c>
      <c r="O4">
        <f t="shared" ref="O4:O67" si="3">SUMPRODUCT(D4:J4,$R$32:$X$32)+$Y$32</f>
        <v>1.2380461878947712E-2</v>
      </c>
      <c r="P4">
        <f t="shared" ref="P4:P67" si="4">SUMPRODUCT(D4:J4,$R$40:$X$40)+$Y$40</f>
        <v>1.2312048503962746E-2</v>
      </c>
    </row>
    <row r="5" spans="1:25" x14ac:dyDescent="0.25">
      <c r="A5" s="2">
        <v>39820</v>
      </c>
      <c r="B5">
        <v>-2.8861729999999999E-2</v>
      </c>
      <c r="C5">
        <v>-2.6352965999999999E-2</v>
      </c>
      <c r="D5">
        <v>-3.0469133999999998E-2</v>
      </c>
      <c r="E5">
        <v>-1.7833062E-2</v>
      </c>
      <c r="F5">
        <v>-2.8734592999999999E-2</v>
      </c>
      <c r="G5">
        <v>1.7292932E-2</v>
      </c>
      <c r="H5">
        <v>-3.5898576000000001E-2</v>
      </c>
      <c r="I5">
        <v>-1.7072795000000002E-2</v>
      </c>
      <c r="J5">
        <v>-2.0015412E-2</v>
      </c>
      <c r="K5">
        <v>-2.6352965999999999E-2</v>
      </c>
      <c r="L5">
        <f t="shared" si="0"/>
        <v>-1.5091565510380987E-2</v>
      </c>
      <c r="M5">
        <f t="shared" si="1"/>
        <v>-8.9869691594491406E-3</v>
      </c>
      <c r="N5">
        <f t="shared" si="2"/>
        <v>-1.9452057842505484E-2</v>
      </c>
      <c r="O5">
        <f t="shared" si="3"/>
        <v>-1.649246681180146E-2</v>
      </c>
      <c r="P5">
        <f t="shared" si="4"/>
        <v>-2.0540589327777199E-2</v>
      </c>
    </row>
    <row r="6" spans="1:25" x14ac:dyDescent="0.25">
      <c r="A6" s="2">
        <v>39821</v>
      </c>
      <c r="B6">
        <v>-6.2208078999999999E-2</v>
      </c>
      <c r="C6">
        <v>-8.4715901999999996E-2</v>
      </c>
      <c r="D6">
        <v>3.391364E-3</v>
      </c>
      <c r="E6">
        <v>-1.1726277E-2</v>
      </c>
      <c r="F6">
        <v>-4.6599899999999998E-4</v>
      </c>
      <c r="G6">
        <v>-4.0061309000000003E-2</v>
      </c>
      <c r="H6">
        <v>2.8283151999999999E-2</v>
      </c>
      <c r="I6">
        <v>-5.5609589999999999E-3</v>
      </c>
      <c r="J6">
        <v>-1.9423777999999999E-2</v>
      </c>
      <c r="K6">
        <v>-8.4715901999999996E-2</v>
      </c>
      <c r="L6">
        <f t="shared" si="0"/>
        <v>-3.280289702527981E-2</v>
      </c>
      <c r="M6">
        <f t="shared" si="1"/>
        <v>-2.5129700398619881E-3</v>
      </c>
      <c r="N6">
        <f t="shared" si="2"/>
        <v>-2.2771665783228541E-2</v>
      </c>
      <c r="O6">
        <f t="shared" si="3"/>
        <v>-1.6789785763398037E-2</v>
      </c>
      <c r="P6">
        <f t="shared" si="4"/>
        <v>-3.1223717261677681E-2</v>
      </c>
      <c r="R6" t="s">
        <v>12</v>
      </c>
    </row>
    <row r="7" spans="1:25" x14ac:dyDescent="0.25">
      <c r="A7" s="2">
        <v>39822</v>
      </c>
      <c r="B7">
        <v>9.8599050000000004E-3</v>
      </c>
      <c r="C7">
        <v>9.6581119999999999E-3</v>
      </c>
      <c r="D7">
        <v>-2.1533208000000002E-2</v>
      </c>
      <c r="E7">
        <v>-1.9872753999999999E-2</v>
      </c>
      <c r="F7">
        <v>-1.2709717000000001E-2</v>
      </c>
      <c r="G7">
        <v>-4.4735019999999999E-3</v>
      </c>
      <c r="H7">
        <v>-9.7638800000000008E-3</v>
      </c>
      <c r="I7">
        <v>-1.0988634000000001E-2</v>
      </c>
      <c r="J7">
        <v>-7.8022120000000002E-3</v>
      </c>
      <c r="K7">
        <v>9.6581119999999999E-3</v>
      </c>
      <c r="L7">
        <f t="shared" si="0"/>
        <v>-1.1238627881118372E-2</v>
      </c>
      <c r="M7">
        <f t="shared" si="1"/>
        <v>-5.3158666103637932E-3</v>
      </c>
      <c r="N7">
        <f t="shared" si="2"/>
        <v>-1.107010813469006E-2</v>
      </c>
      <c r="O7">
        <f t="shared" si="3"/>
        <v>-1.2192761987382013E-2</v>
      </c>
      <c r="P7">
        <f t="shared" si="4"/>
        <v>-1.2776283378170954E-2</v>
      </c>
      <c r="R7" s="4" t="s">
        <v>3</v>
      </c>
      <c r="S7" s="4" t="s">
        <v>4</v>
      </c>
      <c r="T7" s="4" t="s">
        <v>5</v>
      </c>
      <c r="U7" s="4" t="s">
        <v>6</v>
      </c>
      <c r="V7" s="4" t="s">
        <v>7</v>
      </c>
      <c r="W7" s="4" t="s">
        <v>8</v>
      </c>
      <c r="X7" s="4" t="s">
        <v>9</v>
      </c>
      <c r="Y7" s="7" t="s">
        <v>13</v>
      </c>
    </row>
    <row r="8" spans="1:25" x14ac:dyDescent="0.25">
      <c r="A8" s="2">
        <v>39825</v>
      </c>
      <c r="B8">
        <v>-2.9191028000000001E-2</v>
      </c>
      <c r="C8">
        <v>-4.2361154999999998E-2</v>
      </c>
      <c r="D8">
        <v>-2.2822625999999999E-2</v>
      </c>
      <c r="E8">
        <v>-1.3525735000000001E-2</v>
      </c>
      <c r="F8">
        <v>-5.0255330000000004E-3</v>
      </c>
      <c r="G8">
        <v>-4.9038532000000003E-2</v>
      </c>
      <c r="H8">
        <v>-5.3849474000000001E-2</v>
      </c>
      <c r="I8">
        <v>-1.2451258999999999E-2</v>
      </c>
      <c r="J8">
        <v>-2.2629745E-2</v>
      </c>
      <c r="K8">
        <v>-4.2361154999999998E-2</v>
      </c>
      <c r="L8">
        <f t="shared" si="0"/>
        <v>-2.2201367753354233E-2</v>
      </c>
      <c r="M8">
        <f t="shared" si="1"/>
        <v>-1.2236425813765403E-2</v>
      </c>
      <c r="N8">
        <f t="shared" si="2"/>
        <v>-2.4597243179421982E-2</v>
      </c>
      <c r="O8">
        <f t="shared" si="3"/>
        <v>-2.52945098327211E-2</v>
      </c>
      <c r="P8">
        <f t="shared" si="4"/>
        <v>-1.963814480704466E-2</v>
      </c>
      <c r="R8">
        <v>0.16775135373670794</v>
      </c>
      <c r="S8">
        <v>-0.15252399551539822</v>
      </c>
      <c r="T8">
        <v>-0.49139699561570743</v>
      </c>
      <c r="U8">
        <v>6.5912616655488546E-2</v>
      </c>
      <c r="V8">
        <v>-0.2969611894344264</v>
      </c>
      <c r="W8">
        <v>1.1897033995257034</v>
      </c>
      <c r="X8">
        <v>0.97228604287405929</v>
      </c>
      <c r="Y8">
        <v>1.1515721815020239E-3</v>
      </c>
    </row>
    <row r="9" spans="1:25" x14ac:dyDescent="0.25">
      <c r="A9" s="2">
        <v>39826</v>
      </c>
      <c r="B9">
        <v>1.5445347999999999E-2</v>
      </c>
      <c r="C9">
        <v>-2.7218300000000001E-4</v>
      </c>
      <c r="D9">
        <v>1.756552E-3</v>
      </c>
      <c r="E9">
        <v>-1.7673622E-2</v>
      </c>
      <c r="F9">
        <v>-6.1414540000000002E-3</v>
      </c>
      <c r="G9">
        <v>0</v>
      </c>
      <c r="H9">
        <v>3.57202E-3</v>
      </c>
      <c r="I9">
        <v>-1.2220195999999999E-2</v>
      </c>
      <c r="J9">
        <v>-4.8271379999999999E-3</v>
      </c>
      <c r="K9">
        <v>-2.7218300000000001E-4</v>
      </c>
      <c r="L9">
        <f t="shared" si="0"/>
        <v>-1.3132739291989106E-2</v>
      </c>
      <c r="M9">
        <f t="shared" si="1"/>
        <v>-1.5356747646695095E-3</v>
      </c>
      <c r="N9">
        <f t="shared" si="2"/>
        <v>-9.6327671399172518E-3</v>
      </c>
      <c r="O9">
        <f t="shared" si="3"/>
        <v>-7.2804626856916325E-3</v>
      </c>
      <c r="P9">
        <f t="shared" si="4"/>
        <v>-1.0915554945270288E-2</v>
      </c>
    </row>
    <row r="10" spans="1:25" x14ac:dyDescent="0.25">
      <c r="A10" s="2">
        <v>39827</v>
      </c>
      <c r="B10">
        <v>-4.1167611999999999E-2</v>
      </c>
      <c r="C10">
        <v>-3.5552479999999997E-2</v>
      </c>
      <c r="D10">
        <v>-3.4032484000000002E-2</v>
      </c>
      <c r="E10">
        <v>-4.7383437E-2</v>
      </c>
      <c r="F10">
        <v>-5.0945197999999997E-2</v>
      </c>
      <c r="G10">
        <v>2.9123539999999998E-3</v>
      </c>
      <c r="H10">
        <v>-4.0301613E-2</v>
      </c>
      <c r="I10">
        <v>-4.5220199000000003E-2</v>
      </c>
      <c r="J10">
        <v>-8.6766459999999997E-3</v>
      </c>
      <c r="K10">
        <v>-3.5552479999999997E-2</v>
      </c>
      <c r="L10">
        <f t="shared" si="0"/>
        <v>-2.2370825186696152E-2</v>
      </c>
      <c r="M10">
        <f t="shared" si="1"/>
        <v>-1.7303067227761804E-2</v>
      </c>
      <c r="N10">
        <f t="shared" si="2"/>
        <v>-2.7911407474039307E-2</v>
      </c>
      <c r="O10">
        <f t="shared" si="3"/>
        <v>-3.1128898319659155E-2</v>
      </c>
      <c r="P10">
        <f t="shared" si="4"/>
        <v>-2.6133456389627531E-2</v>
      </c>
      <c r="R10" t="s">
        <v>14</v>
      </c>
      <c r="T10">
        <f>SUMPRODUCT(K3:K288-L3:L288,K3:K288-L3:L288)</f>
        <v>6.4576325502975276E-2</v>
      </c>
    </row>
    <row r="11" spans="1:25" x14ac:dyDescent="0.25">
      <c r="A11" s="2">
        <v>39828</v>
      </c>
      <c r="B11">
        <v>6.6190499999999996E-4</v>
      </c>
      <c r="C11">
        <v>-1.7267844000000001E-2</v>
      </c>
      <c r="D11">
        <v>1.3283049999999999E-3</v>
      </c>
      <c r="E11">
        <v>-1.9550621000000001E-2</v>
      </c>
      <c r="F11">
        <v>-1.4334659E-2</v>
      </c>
      <c r="G11">
        <v>-5.0447588000000002E-2</v>
      </c>
      <c r="H11">
        <v>3.0313601999999999E-2</v>
      </c>
      <c r="I11">
        <v>-1.2070424E-2</v>
      </c>
      <c r="J11">
        <v>-2.3428728999999999E-2</v>
      </c>
      <c r="K11">
        <v>-1.7267844000000001E-2</v>
      </c>
      <c r="L11">
        <f t="shared" si="0"/>
        <v>-3.8066402171565011E-2</v>
      </c>
      <c r="M11">
        <f t="shared" si="1"/>
        <v>-6.3636596342558152E-3</v>
      </c>
      <c r="N11">
        <f t="shared" si="2"/>
        <v>-3.0681390039516129E-2</v>
      </c>
      <c r="O11">
        <f t="shared" si="3"/>
        <v>-2.5506627495694864E-2</v>
      </c>
      <c r="P11">
        <f t="shared" si="4"/>
        <v>-4.0455348525651406E-2</v>
      </c>
    </row>
    <row r="12" spans="1:25" x14ac:dyDescent="0.25">
      <c r="A12" s="2">
        <v>39829</v>
      </c>
      <c r="B12">
        <v>2.2037345E-2</v>
      </c>
      <c r="C12">
        <v>3.2278031999999998E-2</v>
      </c>
      <c r="D12">
        <v>7.5331260000000002E-3</v>
      </c>
      <c r="E12">
        <v>6.7907799999999997E-3</v>
      </c>
      <c r="F12">
        <v>6.289177E-3</v>
      </c>
      <c r="G12">
        <v>2.5453185999999999E-2</v>
      </c>
      <c r="H12">
        <v>4.8666860000000003E-3</v>
      </c>
      <c r="I12">
        <v>8.5608579999999993E-3</v>
      </c>
      <c r="J12">
        <v>1.0916893E-2</v>
      </c>
      <c r="K12">
        <v>3.2278031999999998E-2</v>
      </c>
      <c r="L12">
        <f t="shared" si="0"/>
        <v>1.9320718474131061E-2</v>
      </c>
      <c r="M12">
        <f t="shared" si="1"/>
        <v>8.1578051882154386E-3</v>
      </c>
      <c r="N12">
        <f t="shared" si="2"/>
        <v>1.6474708941678792E-2</v>
      </c>
      <c r="O12">
        <f t="shared" si="3"/>
        <v>1.539287721311125E-2</v>
      </c>
      <c r="P12">
        <f t="shared" si="4"/>
        <v>1.8452058901887194E-2</v>
      </c>
    </row>
    <row r="13" spans="1:25" x14ac:dyDescent="0.25">
      <c r="A13" s="2">
        <v>39832</v>
      </c>
      <c r="B13">
        <v>-2.2692464999999998E-2</v>
      </c>
      <c r="C13">
        <v>-4.4348780999999997E-2</v>
      </c>
      <c r="D13">
        <v>-5.4261983999999999E-2</v>
      </c>
      <c r="E13">
        <v>-1.1549904E-2</v>
      </c>
      <c r="F13">
        <v>-9.3512960000000003E-3</v>
      </c>
      <c r="G13">
        <v>3.2389179999999999E-3</v>
      </c>
      <c r="H13">
        <v>-1.3151015E-2</v>
      </c>
      <c r="I13">
        <v>-1.2045182E-2</v>
      </c>
      <c r="J13">
        <v>-4.0290040000000001E-3</v>
      </c>
      <c r="K13">
        <v>-4.4348780999999997E-2</v>
      </c>
      <c r="L13">
        <f t="shared" si="0"/>
        <v>-1.5722824537532119E-2</v>
      </c>
      <c r="M13">
        <f t="shared" si="1"/>
        <v>-5.6728035902113404E-3</v>
      </c>
      <c r="N13">
        <f t="shared" si="2"/>
        <v>-7.9132038052465506E-3</v>
      </c>
      <c r="O13">
        <f t="shared" si="3"/>
        <v>-9.8903564508081403E-3</v>
      </c>
      <c r="P13">
        <f t="shared" si="4"/>
        <v>-1.3499501517661291E-2</v>
      </c>
    </row>
    <row r="14" spans="1:25" x14ac:dyDescent="0.25">
      <c r="A14" s="2">
        <v>39833</v>
      </c>
      <c r="B14">
        <v>-1.3708704E-2</v>
      </c>
      <c r="C14">
        <v>-2.9661366000000002E-2</v>
      </c>
      <c r="D14">
        <v>0</v>
      </c>
      <c r="E14">
        <v>-1.7833592999999998E-2</v>
      </c>
      <c r="F14">
        <v>-4.1707890000000003E-3</v>
      </c>
      <c r="G14">
        <v>-2.3411497999999999E-2</v>
      </c>
      <c r="H14">
        <v>-4.0899260999999999E-2</v>
      </c>
      <c r="I14">
        <v>-1.5088013000000001E-2</v>
      </c>
      <c r="J14">
        <v>-2.4107192999999999E-2</v>
      </c>
      <c r="K14">
        <v>-2.9661366000000002E-2</v>
      </c>
      <c r="L14">
        <f t="shared" si="0"/>
        <v>-2.4865831320210415E-2</v>
      </c>
      <c r="M14">
        <f t="shared" si="1"/>
        <v>-8.6143616771197241E-3</v>
      </c>
      <c r="N14">
        <f t="shared" si="2"/>
        <v>-2.5125622484463754E-2</v>
      </c>
      <c r="O14">
        <f t="shared" si="3"/>
        <v>-2.0095523140896E-2</v>
      </c>
      <c r="P14">
        <f t="shared" si="4"/>
        <v>-2.0733620110300961E-2</v>
      </c>
      <c r="R14" t="s">
        <v>19</v>
      </c>
    </row>
    <row r="15" spans="1:25" x14ac:dyDescent="0.25">
      <c r="A15" s="2">
        <v>39834</v>
      </c>
      <c r="B15">
        <v>8.6469699999999999E-4</v>
      </c>
      <c r="C15">
        <v>1.52943E-3</v>
      </c>
      <c r="D15">
        <v>4.2572033000000002E-2</v>
      </c>
      <c r="E15">
        <v>5.0111859999999999E-3</v>
      </c>
      <c r="F15">
        <v>-7.7288670000000004E-3</v>
      </c>
      <c r="G15">
        <v>-2.0561328E-2</v>
      </c>
      <c r="H15">
        <v>3.3532127000000002E-2</v>
      </c>
      <c r="I15">
        <v>-3.3385630000000001E-3</v>
      </c>
      <c r="J15">
        <v>-5.0922420000000003E-3</v>
      </c>
      <c r="K15">
        <v>1.52943E-3</v>
      </c>
      <c r="L15">
        <f t="shared" si="0"/>
        <v>-8.9093025618474358E-3</v>
      </c>
      <c r="M15">
        <f t="shared" si="1"/>
        <v>4.733517499419854E-3</v>
      </c>
      <c r="N15">
        <f t="shared" si="2"/>
        <v>-8.3605262051456748E-3</v>
      </c>
      <c r="O15">
        <f t="shared" si="3"/>
        <v>-2.0711861228909058E-3</v>
      </c>
      <c r="P15">
        <f t="shared" si="4"/>
        <v>-1.1334825161470141E-2</v>
      </c>
      <c r="R15" s="4" t="s">
        <v>3</v>
      </c>
      <c r="S15" s="4" t="s">
        <v>4</v>
      </c>
      <c r="T15" s="4" t="s">
        <v>5</v>
      </c>
      <c r="U15" s="4" t="s">
        <v>6</v>
      </c>
      <c r="V15" s="4" t="s">
        <v>7</v>
      </c>
      <c r="W15" s="4" t="s">
        <v>8</v>
      </c>
      <c r="X15" s="4" t="s">
        <v>9</v>
      </c>
      <c r="Y15" s="7" t="s">
        <v>13</v>
      </c>
    </row>
    <row r="16" spans="1:25" x14ac:dyDescent="0.25">
      <c r="A16" s="2">
        <v>39835</v>
      </c>
      <c r="B16">
        <v>-3.8150599999999999E-3</v>
      </c>
      <c r="C16">
        <v>5.0431640000000002E-3</v>
      </c>
      <c r="D16">
        <v>-1.5278458E-2</v>
      </c>
      <c r="E16">
        <v>-9.8413990000000007E-3</v>
      </c>
      <c r="F16">
        <v>-1.898399E-3</v>
      </c>
      <c r="G16">
        <v>1.8817884E-2</v>
      </c>
      <c r="H16">
        <v>-1.6981712999999999E-2</v>
      </c>
      <c r="I16">
        <v>-6.5522200000000001E-3</v>
      </c>
      <c r="J16">
        <v>-3.2272490000000002E-3</v>
      </c>
      <c r="K16">
        <v>5.0431640000000002E-3</v>
      </c>
      <c r="L16">
        <f t="shared" si="0"/>
        <v>-3.6272546715323604E-3</v>
      </c>
      <c r="M16">
        <f t="shared" si="1"/>
        <v>-7.1883945317965329E-4</v>
      </c>
      <c r="N16">
        <f t="shared" si="2"/>
        <v>-2.0316200603542642E-3</v>
      </c>
      <c r="O16">
        <f t="shared" si="3"/>
        <v>-9.0941608582071937E-4</v>
      </c>
      <c r="P16">
        <f t="shared" si="4"/>
        <v>-1.303148937077535E-3</v>
      </c>
      <c r="R16">
        <v>6.5891518131131394E-2</v>
      </c>
      <c r="S16">
        <v>0.10530674358003209</v>
      </c>
      <c r="T16">
        <v>8.5570525130867742E-2</v>
      </c>
      <c r="U16">
        <v>7.8087134031965891E-2</v>
      </c>
      <c r="V16">
        <v>6.9676268059382068E-2</v>
      </c>
      <c r="W16">
        <v>9.8073802536418328E-2</v>
      </c>
      <c r="X16">
        <v>9.8897147961451923E-2</v>
      </c>
      <c r="Y16">
        <v>2.1622486287489E-3</v>
      </c>
    </row>
    <row r="17" spans="1:34" x14ac:dyDescent="0.25">
      <c r="A17" s="2">
        <v>39836</v>
      </c>
      <c r="B17">
        <v>5.6612600000000004E-3</v>
      </c>
      <c r="C17">
        <v>-1.0007953999999999E-2</v>
      </c>
      <c r="D17">
        <v>5.3632360000000004E-3</v>
      </c>
      <c r="E17">
        <v>-9.6400519999999996E-3</v>
      </c>
      <c r="F17" s="1">
        <v>7.4031100000000003E-5</v>
      </c>
      <c r="G17">
        <v>-3.8808465E-2</v>
      </c>
      <c r="H17">
        <v>6.2610360000000002E-3</v>
      </c>
      <c r="I17">
        <v>-3.620056E-3</v>
      </c>
      <c r="J17">
        <v>-8.0773189999999995E-3</v>
      </c>
      <c r="K17">
        <v>-1.0007953999999999E-2</v>
      </c>
      <c r="L17">
        <f t="shared" si="0"/>
        <v>-1.3092286762594029E-2</v>
      </c>
      <c r="M17">
        <f t="shared" si="1"/>
        <v>-2.2412398680287612E-3</v>
      </c>
      <c r="N17">
        <f t="shared" si="2"/>
        <v>-1.1556169887365974E-2</v>
      </c>
      <c r="O17">
        <f t="shared" si="3"/>
        <v>-1.1617255320321049E-2</v>
      </c>
      <c r="P17">
        <f t="shared" si="4"/>
        <v>-1.2534763194029949E-2</v>
      </c>
    </row>
    <row r="18" spans="1:34" x14ac:dyDescent="0.25">
      <c r="A18" s="2">
        <v>39839</v>
      </c>
      <c r="B18">
        <v>4.6831301999999998E-2</v>
      </c>
      <c r="C18">
        <v>6.1708176000000003E-2</v>
      </c>
      <c r="D18">
        <v>5.5378559999999999E-3</v>
      </c>
      <c r="E18">
        <v>3.4786790999999997E-2</v>
      </c>
      <c r="F18">
        <v>3.7891115000000003E-2</v>
      </c>
      <c r="G18">
        <v>-8.181598E-3</v>
      </c>
      <c r="H18">
        <v>9.8381560000000007E-3</v>
      </c>
      <c r="I18">
        <v>3.2799581000000001E-2</v>
      </c>
      <c r="J18">
        <v>1.0319685E-2</v>
      </c>
      <c r="K18">
        <v>6.1708176000000003E-2</v>
      </c>
      <c r="L18">
        <f t="shared" si="0"/>
        <v>2.3749792267163318E-2</v>
      </c>
      <c r="M18">
        <f t="shared" si="1"/>
        <v>1.3716768155609951E-2</v>
      </c>
      <c r="N18">
        <f t="shared" si="2"/>
        <v>2.5671854665778392E-2</v>
      </c>
      <c r="O18">
        <f t="shared" si="3"/>
        <v>2.3834865125104323E-2</v>
      </c>
      <c r="P18">
        <f t="shared" si="4"/>
        <v>2.7025780804005538E-2</v>
      </c>
      <c r="R18" t="s">
        <v>14</v>
      </c>
      <c r="T18">
        <f>SUMPRODUCT(K3:K288-M3:M288,K3:K288-M3:M288)+$X$18*SUMPRODUCT(R16:Y16,R16:Y16)</f>
        <v>0.11329318838366433</v>
      </c>
      <c r="W18" t="s">
        <v>22</v>
      </c>
      <c r="X18">
        <v>0.3</v>
      </c>
    </row>
    <row r="19" spans="1:34" x14ac:dyDescent="0.25">
      <c r="A19" s="2">
        <v>39840</v>
      </c>
      <c r="B19">
        <v>-6.6349779999999997E-3</v>
      </c>
      <c r="C19">
        <v>1.0948660000000001E-2</v>
      </c>
      <c r="D19">
        <v>1.0866311999999999E-2</v>
      </c>
      <c r="E19">
        <v>-7.9766099999999996E-4</v>
      </c>
      <c r="F19">
        <v>-3.4747879999999999E-3</v>
      </c>
      <c r="G19">
        <v>4.8148148000000002E-2</v>
      </c>
      <c r="H19">
        <v>4.9217799999999997E-3</v>
      </c>
      <c r="I19">
        <v>-2.641806E-3</v>
      </c>
      <c r="J19">
        <v>6.3444979999999996E-3</v>
      </c>
      <c r="K19">
        <v>1.0948660000000001E-2</v>
      </c>
      <c r="L19">
        <f t="shared" si="0"/>
        <v>9.5412676102319179E-3</v>
      </c>
      <c r="M19">
        <f t="shared" si="1"/>
        <v>6.9679508529860469E-3</v>
      </c>
      <c r="N19">
        <f t="shared" si="2"/>
        <v>9.3353128672798956E-3</v>
      </c>
      <c r="O19">
        <f t="shared" si="3"/>
        <v>1.310945653321768E-2</v>
      </c>
      <c r="P19">
        <f t="shared" si="4"/>
        <v>9.7533200907328563E-3</v>
      </c>
    </row>
    <row r="20" spans="1:34" x14ac:dyDescent="0.25">
      <c r="A20" s="2">
        <v>39841</v>
      </c>
      <c r="B20">
        <v>3.4566982000000003E-2</v>
      </c>
      <c r="C20">
        <v>3.5870859999999997E-2</v>
      </c>
      <c r="D20">
        <v>3.3006833999999999E-2</v>
      </c>
      <c r="E20">
        <v>4.4182012E-2</v>
      </c>
      <c r="F20">
        <v>2.3747818E-2</v>
      </c>
      <c r="G20">
        <v>5.5940010000000004E-3</v>
      </c>
      <c r="H20">
        <v>3.8724651999999998E-2</v>
      </c>
      <c r="I20">
        <v>2.9974199999999999E-2</v>
      </c>
      <c r="J20">
        <v>2.2104103E-2</v>
      </c>
      <c r="K20">
        <v>3.5870859999999997E-2</v>
      </c>
      <c r="L20">
        <f t="shared" si="0"/>
        <v>3.4301004850130073E-2</v>
      </c>
      <c r="M20">
        <f t="shared" si="1"/>
        <v>1.9282621351270839E-2</v>
      </c>
      <c r="N20">
        <f t="shared" si="2"/>
        <v>3.3001145398729614E-2</v>
      </c>
      <c r="O20">
        <f t="shared" si="3"/>
        <v>3.2306370898716144E-2</v>
      </c>
      <c r="P20">
        <f t="shared" si="4"/>
        <v>3.2794803730371302E-2</v>
      </c>
    </row>
    <row r="21" spans="1:34" x14ac:dyDescent="0.25">
      <c r="A21" s="2">
        <v>39842</v>
      </c>
      <c r="B21">
        <v>-2.0528213E-2</v>
      </c>
      <c r="C21">
        <v>-2.0271847999999999E-2</v>
      </c>
      <c r="D21">
        <v>-3.3681050999999997E-2</v>
      </c>
      <c r="E21">
        <v>-2.0255911000000001E-2</v>
      </c>
      <c r="F21">
        <v>-2.477352E-2</v>
      </c>
      <c r="G21">
        <v>1.7723189E-2</v>
      </c>
      <c r="H21">
        <v>-1.4750157999999999E-2</v>
      </c>
      <c r="I21">
        <v>-2.3108586E-2</v>
      </c>
      <c r="J21">
        <v>4.0869700000000002E-4</v>
      </c>
      <c r="K21">
        <v>-2.0271847999999999E-2</v>
      </c>
      <c r="L21">
        <f t="shared" si="0"/>
        <v>-1.0781910648745216E-2</v>
      </c>
      <c r="M21">
        <f t="shared" si="1"/>
        <v>-6.1797249556789814E-3</v>
      </c>
      <c r="N21">
        <f t="shared" si="2"/>
        <v>-8.8360564146232265E-3</v>
      </c>
      <c r="O21">
        <f t="shared" si="3"/>
        <v>-1.0346806936527824E-2</v>
      </c>
      <c r="P21">
        <f t="shared" si="4"/>
        <v>-1.1090062313294671E-2</v>
      </c>
    </row>
    <row r="22" spans="1:34" x14ac:dyDescent="0.25">
      <c r="A22" s="2">
        <v>39843</v>
      </c>
      <c r="B22">
        <v>-8.7767009999999996E-3</v>
      </c>
      <c r="C22">
        <v>-2.3458255000000001E-2</v>
      </c>
      <c r="D22">
        <v>-2.305281E-2</v>
      </c>
      <c r="E22">
        <v>-2.0478764999999999E-2</v>
      </c>
      <c r="F22">
        <v>-9.7126560000000001E-3</v>
      </c>
      <c r="G22">
        <v>-3.1665976999999998E-2</v>
      </c>
      <c r="H22">
        <v>-8.5382900000000005E-3</v>
      </c>
      <c r="I22">
        <v>-7.201303E-3</v>
      </c>
      <c r="J22">
        <v>2.242539E-3</v>
      </c>
      <c r="K22">
        <v>-2.3458255000000001E-2</v>
      </c>
      <c r="L22">
        <f t="shared" si="0"/>
        <v>-7.5796680326367053E-4</v>
      </c>
      <c r="M22">
        <f t="shared" si="1"/>
        <v>-5.8965051785613166E-3</v>
      </c>
      <c r="N22">
        <f t="shared" si="2"/>
        <v>-4.517505730577109E-3</v>
      </c>
      <c r="O22">
        <f t="shared" si="3"/>
        <v>-1.29920811750698E-2</v>
      </c>
      <c r="P22">
        <f t="shared" si="4"/>
        <v>-3.4949051750390492E-3</v>
      </c>
      <c r="R22" t="s">
        <v>20</v>
      </c>
    </row>
    <row r="23" spans="1:34" x14ac:dyDescent="0.25">
      <c r="A23" s="2">
        <v>39846</v>
      </c>
      <c r="B23">
        <v>-2.5919141E-2</v>
      </c>
      <c r="C23">
        <v>-3.5607494000000003E-2</v>
      </c>
      <c r="D23">
        <v>-5.32907E-4</v>
      </c>
      <c r="E23">
        <v>-1.5636733999999999E-2</v>
      </c>
      <c r="F23">
        <v>-1.7454317E-2</v>
      </c>
      <c r="G23">
        <v>-1.5133862E-2</v>
      </c>
      <c r="H23">
        <v>-1.6289303000000002E-2</v>
      </c>
      <c r="I23">
        <v>-1.9739294000000001E-2</v>
      </c>
      <c r="J23">
        <v>-1.9091384999999999E-2</v>
      </c>
      <c r="K23">
        <v>-3.5607494000000003E-2</v>
      </c>
      <c r="L23">
        <f t="shared" si="0"/>
        <v>-2.6182261609605885E-2</v>
      </c>
      <c r="M23">
        <f t="shared" si="1"/>
        <v>-7.1538229336037314E-3</v>
      </c>
      <c r="N23">
        <f t="shared" si="2"/>
        <v>-2.4584516392829426E-2</v>
      </c>
      <c r="O23">
        <f t="shared" si="3"/>
        <v>-1.895580231644993E-2</v>
      </c>
      <c r="P23">
        <f t="shared" si="4"/>
        <v>-2.5453261412505149E-2</v>
      </c>
      <c r="R23" s="4" t="s">
        <v>3</v>
      </c>
      <c r="S23" s="4" t="s">
        <v>4</v>
      </c>
      <c r="T23" s="4" t="s">
        <v>5</v>
      </c>
      <c r="U23" s="4" t="s">
        <v>6</v>
      </c>
      <c r="V23" s="4" t="s">
        <v>7</v>
      </c>
      <c r="W23" s="4" t="s">
        <v>8</v>
      </c>
      <c r="X23" s="4" t="s">
        <v>9</v>
      </c>
      <c r="Y23" s="7" t="s">
        <v>13</v>
      </c>
      <c r="AA23" s="4" t="s">
        <v>3</v>
      </c>
      <c r="AB23" s="4" t="s">
        <v>4</v>
      </c>
      <c r="AC23" s="4" t="s">
        <v>5</v>
      </c>
      <c r="AD23" s="4" t="s">
        <v>6</v>
      </c>
      <c r="AE23" s="4" t="s">
        <v>7</v>
      </c>
      <c r="AF23" s="4" t="s">
        <v>8</v>
      </c>
      <c r="AG23" s="4" t="s">
        <v>9</v>
      </c>
      <c r="AH23" s="7" t="s">
        <v>13</v>
      </c>
    </row>
    <row r="24" spans="1:34" x14ac:dyDescent="0.25">
      <c r="A24" s="2">
        <v>39847</v>
      </c>
      <c r="B24">
        <v>1.5279487E-2</v>
      </c>
      <c r="C24">
        <v>2.2402818000000001E-2</v>
      </c>
      <c r="D24">
        <v>1.570993E-2</v>
      </c>
      <c r="E24">
        <v>2.4040019999999999E-2</v>
      </c>
      <c r="F24">
        <v>2.1038593000000001E-2</v>
      </c>
      <c r="G24">
        <v>-6.1747420000000004E-3</v>
      </c>
      <c r="H24">
        <v>2.7573706E-2</v>
      </c>
      <c r="I24">
        <v>1.7862274000000001E-2</v>
      </c>
      <c r="J24">
        <v>1.2718686E-2</v>
      </c>
      <c r="K24">
        <v>2.2402818000000001E-2</v>
      </c>
      <c r="L24">
        <f t="shared" si="0"/>
        <v>1.4803647960548765E-2</v>
      </c>
      <c r="M24">
        <f t="shared" si="1"/>
        <v>1.1977987367830574E-2</v>
      </c>
      <c r="N24">
        <f t="shared" si="2"/>
        <v>1.8378687234227569E-2</v>
      </c>
      <c r="O24">
        <f t="shared" si="3"/>
        <v>1.8045757763156554E-2</v>
      </c>
      <c r="P24">
        <f t="shared" si="4"/>
        <v>1.7068054380997122E-2</v>
      </c>
      <c r="R24">
        <v>1.0249545078457789E-2</v>
      </c>
      <c r="S24">
        <v>2.2141778325706532E-2</v>
      </c>
      <c r="T24">
        <v>3.1549144769849834E-5</v>
      </c>
      <c r="U24">
        <v>0.10606091972909736</v>
      </c>
      <c r="V24">
        <v>-6.717160737289303E-2</v>
      </c>
      <c r="W24">
        <v>0.53407934829046422</v>
      </c>
      <c r="X24">
        <v>0.74916239596951573</v>
      </c>
      <c r="Y24">
        <v>1.1235510897191223E-3</v>
      </c>
      <c r="AA24">
        <f>ABS(R24)</f>
        <v>1.0249545078457789E-2</v>
      </c>
      <c r="AB24">
        <f t="shared" ref="AB24:AH24" si="5">ABS(S24)</f>
        <v>2.2141778325706532E-2</v>
      </c>
      <c r="AC24">
        <f t="shared" si="5"/>
        <v>3.1549144769849834E-5</v>
      </c>
      <c r="AD24">
        <f t="shared" si="5"/>
        <v>0.10606091972909736</v>
      </c>
      <c r="AE24">
        <f t="shared" si="5"/>
        <v>6.717160737289303E-2</v>
      </c>
      <c r="AF24">
        <f t="shared" si="5"/>
        <v>0.53407934829046422</v>
      </c>
      <c r="AG24">
        <f t="shared" si="5"/>
        <v>0.74916239596951573</v>
      </c>
      <c r="AH24">
        <f t="shared" si="5"/>
        <v>1.1235510897191223E-3</v>
      </c>
    </row>
    <row r="25" spans="1:34" x14ac:dyDescent="0.25">
      <c r="A25" s="2">
        <v>39848</v>
      </c>
      <c r="B25">
        <v>1.8577796000000001E-2</v>
      </c>
      <c r="C25">
        <v>2.3230766999999999E-2</v>
      </c>
      <c r="D25">
        <v>-7.5176619999999996E-3</v>
      </c>
      <c r="E25">
        <v>2.6576513E-2</v>
      </c>
      <c r="F25">
        <v>1.5274749000000001E-2</v>
      </c>
      <c r="G25">
        <v>2.6908324000000001E-2</v>
      </c>
      <c r="H25">
        <v>9.5648980000000005E-3</v>
      </c>
      <c r="I25">
        <v>1.8769962000000001E-2</v>
      </c>
      <c r="J25">
        <v>1.5165589E-2</v>
      </c>
      <c r="K25">
        <v>2.3230766999999999E-2</v>
      </c>
      <c r="L25">
        <f t="shared" si="0"/>
        <v>2.4340125161843411E-2</v>
      </c>
      <c r="M25">
        <f t="shared" si="1"/>
        <v>1.1880968145518625E-2</v>
      </c>
      <c r="N25">
        <f t="shared" si="2"/>
        <v>2.5233001721665781E-2</v>
      </c>
      <c r="O25">
        <f t="shared" si="3"/>
        <v>2.3635786943634454E-2</v>
      </c>
      <c r="P25">
        <f t="shared" si="4"/>
        <v>2.4358361969742243E-2</v>
      </c>
    </row>
    <row r="26" spans="1:34" x14ac:dyDescent="0.25">
      <c r="A26" s="2">
        <v>39849</v>
      </c>
      <c r="B26">
        <v>-1.4132878999999999E-2</v>
      </c>
      <c r="C26">
        <v>-1.4571381E-2</v>
      </c>
      <c r="D26">
        <v>1.6233193999999999E-2</v>
      </c>
      <c r="E26">
        <v>3.9319050000000003E-3</v>
      </c>
      <c r="F26" s="1">
        <v>7.0943000000000002E-5</v>
      </c>
      <c r="G26">
        <v>-1.1169330999999999E-2</v>
      </c>
      <c r="H26">
        <v>2.4127810999999999E-2</v>
      </c>
      <c r="I26">
        <v>-4.1390940000000003E-3</v>
      </c>
      <c r="J26">
        <v>2.0725050000000001E-3</v>
      </c>
      <c r="K26">
        <v>-1.4571381E-2</v>
      </c>
      <c r="L26">
        <f t="shared" si="0"/>
        <v>-7.5703083901543476E-3</v>
      </c>
      <c r="M26">
        <f t="shared" si="1"/>
        <v>4.2599880929843695E-3</v>
      </c>
      <c r="N26">
        <f t="shared" si="2"/>
        <v>-2.0862996299640703E-3</v>
      </c>
      <c r="O26">
        <f t="shared" si="3"/>
        <v>1.1239230621370232E-3</v>
      </c>
      <c r="P26">
        <f t="shared" si="4"/>
        <v>-5.2410050135187278E-3</v>
      </c>
      <c r="R26" t="s">
        <v>14</v>
      </c>
      <c r="T26">
        <f>SUMPRODUCT(K3:K288-N3:N288,K3:K288-N3:N288)/(2*S3)+$X$26*SUM(AA24:AH24)</f>
        <v>1.3241468507741331E-4</v>
      </c>
      <c r="W26" t="s">
        <v>22</v>
      </c>
      <c r="X26">
        <v>1.0000000000000001E-5</v>
      </c>
    </row>
    <row r="27" spans="1:34" x14ac:dyDescent="0.25">
      <c r="A27" s="2">
        <v>39850</v>
      </c>
      <c r="B27">
        <v>3.6607043999999998E-2</v>
      </c>
      <c r="C27">
        <v>4.2758926000000003E-2</v>
      </c>
      <c r="D27">
        <v>2.6540681E-2</v>
      </c>
      <c r="E27">
        <v>2.9305918E-2</v>
      </c>
      <c r="F27">
        <v>1.4787613E-2</v>
      </c>
      <c r="G27">
        <v>1.5845565999999998E-2</v>
      </c>
      <c r="H27">
        <v>3.9282460999999998E-2</v>
      </c>
      <c r="I27">
        <v>1.9126667999999999E-2</v>
      </c>
      <c r="J27">
        <v>3.2338114000000001E-2</v>
      </c>
      <c r="K27">
        <v>4.2758926000000003E-2</v>
      </c>
      <c r="L27">
        <f t="shared" si="0"/>
        <v>3.7443378253457227E-2</v>
      </c>
      <c r="M27">
        <f t="shared" si="1"/>
        <v>1.7310911418504982E-2</v>
      </c>
      <c r="N27">
        <f t="shared" si="2"/>
        <v>3.5528519275010807E-2</v>
      </c>
      <c r="O27">
        <f t="shared" si="3"/>
        <v>3.0944256931655919E-2</v>
      </c>
      <c r="P27">
        <f t="shared" si="4"/>
        <v>3.6425189478096101E-2</v>
      </c>
      <c r="T27" s="8"/>
    </row>
    <row r="28" spans="1:34" x14ac:dyDescent="0.25">
      <c r="A28" s="2">
        <v>39853</v>
      </c>
      <c r="B28">
        <v>1.1353209E-2</v>
      </c>
      <c r="C28">
        <v>2.1467637000000001E-2</v>
      </c>
      <c r="D28">
        <v>1.4840470000000001E-3</v>
      </c>
      <c r="E28">
        <v>4.7661839999999997E-3</v>
      </c>
      <c r="F28">
        <v>3.6513790000000002E-3</v>
      </c>
      <c r="G28">
        <v>-1.3410689E-2</v>
      </c>
      <c r="H28">
        <v>-1.5461796E-2</v>
      </c>
      <c r="I28">
        <v>5.6271589999999996E-3</v>
      </c>
      <c r="J28">
        <v>7.895394E-3</v>
      </c>
      <c r="K28">
        <v>2.1467637000000001E-2</v>
      </c>
      <c r="L28">
        <f t="shared" si="0"/>
        <v>1.6958140286237804E-2</v>
      </c>
      <c r="M28">
        <f t="shared" si="1"/>
        <v>2.2825827904414224E-3</v>
      </c>
      <c r="N28">
        <f t="shared" si="2"/>
        <v>9.7809342620774203E-3</v>
      </c>
      <c r="O28">
        <f t="shared" si="3"/>
        <v>4.2303118160866449E-3</v>
      </c>
      <c r="P28">
        <f t="shared" si="4"/>
        <v>1.5526344416149584E-2</v>
      </c>
    </row>
    <row r="29" spans="1:34" x14ac:dyDescent="0.25">
      <c r="A29" s="2">
        <v>39854</v>
      </c>
      <c r="B29">
        <v>-4.0542020999999998E-2</v>
      </c>
      <c r="C29">
        <v>-4.3906873999999999E-2</v>
      </c>
      <c r="D29">
        <v>-5.0368620000000003E-2</v>
      </c>
      <c r="E29">
        <v>-3.5170146999999999E-2</v>
      </c>
      <c r="F29">
        <v>-2.2182186E-2</v>
      </c>
      <c r="G29">
        <v>-2.901673E-3</v>
      </c>
      <c r="H29">
        <v>-2.1439595999999998E-2</v>
      </c>
      <c r="I29">
        <v>-2.4387753000000002E-2</v>
      </c>
      <c r="J29">
        <v>-2.1390950000000001E-3</v>
      </c>
      <c r="K29">
        <v>-4.3906873999999999E-2</v>
      </c>
      <c r="L29">
        <f t="shared" si="0"/>
        <v>-1.5951814904184965E-2</v>
      </c>
      <c r="M29">
        <f t="shared" si="1"/>
        <v>-1.1082175598789124E-2</v>
      </c>
      <c r="N29">
        <f t="shared" si="2"/>
        <v>-1.3667280525367392E-2</v>
      </c>
      <c r="O29">
        <f t="shared" si="3"/>
        <v>-1.9516968924031989E-2</v>
      </c>
      <c r="P29">
        <f t="shared" si="4"/>
        <v>-1.5598621050996039E-2</v>
      </c>
    </row>
    <row r="30" spans="1:34" x14ac:dyDescent="0.25">
      <c r="A30" s="2">
        <v>39855</v>
      </c>
      <c r="B30">
        <v>-2.2105644000000001E-2</v>
      </c>
      <c r="C30">
        <v>-3.3893469000000002E-2</v>
      </c>
      <c r="D30">
        <v>7.9234560000000006E-3</v>
      </c>
      <c r="E30">
        <v>5.4340559999999996E-3</v>
      </c>
      <c r="F30">
        <v>5.0193060000000003E-3</v>
      </c>
      <c r="G30">
        <v>-3.0744916000000001E-2</v>
      </c>
      <c r="H30">
        <v>-8.7992480000000008E-3</v>
      </c>
      <c r="I30">
        <v>1.097418E-3</v>
      </c>
      <c r="J30">
        <v>-7.9259970000000006E-3</v>
      </c>
      <c r="K30">
        <v>-3.3893469000000002E-2</v>
      </c>
      <c r="L30">
        <f t="shared" si="0"/>
        <v>-6.6287302135407174E-3</v>
      </c>
      <c r="M30">
        <f t="shared" si="1"/>
        <v>-4.027115243455167E-6</v>
      </c>
      <c r="N30">
        <f t="shared" si="2"/>
        <v>-6.6962841215046824E-3</v>
      </c>
      <c r="O30">
        <f t="shared" si="3"/>
        <v>-5.2271189131681576E-3</v>
      </c>
      <c r="P30">
        <f t="shared" si="4"/>
        <v>-5.0134738747090752E-3</v>
      </c>
      <c r="R30" t="s">
        <v>21</v>
      </c>
    </row>
    <row r="31" spans="1:34" x14ac:dyDescent="0.25">
      <c r="A31" s="2">
        <v>39856</v>
      </c>
      <c r="B31">
        <v>-1.4888368000000001E-2</v>
      </c>
      <c r="C31">
        <v>-2.0825038000000001E-2</v>
      </c>
      <c r="D31">
        <v>1.7376410000000001E-3</v>
      </c>
      <c r="E31">
        <v>-2.7420558000000001E-2</v>
      </c>
      <c r="F31">
        <v>-7.6098279999999999E-3</v>
      </c>
      <c r="G31">
        <v>0</v>
      </c>
      <c r="H31">
        <v>-8.4822319999999993E-3</v>
      </c>
      <c r="I31">
        <v>-1.4092175E-2</v>
      </c>
      <c r="J31">
        <v>-1.4772748E-2</v>
      </c>
      <c r="K31">
        <v>-2.0825038000000001E-2</v>
      </c>
      <c r="L31">
        <f t="shared" si="0"/>
        <v>-1.9245148002393613E-2</v>
      </c>
      <c r="M31">
        <f t="shared" si="1"/>
        <v>-4.6960683196229439E-3</v>
      </c>
      <c r="N31">
        <f t="shared" si="2"/>
        <v>-1.7489780650068881E-2</v>
      </c>
      <c r="O31">
        <f t="shared" si="3"/>
        <v>-1.3507524284354181E-2</v>
      </c>
      <c r="P31">
        <f t="shared" si="4"/>
        <v>-1.7587083027751894E-2</v>
      </c>
      <c r="R31" s="4" t="s">
        <v>3</v>
      </c>
      <c r="S31" s="4" t="s">
        <v>4</v>
      </c>
      <c r="T31" s="4" t="s">
        <v>5</v>
      </c>
      <c r="U31" s="4" t="s">
        <v>6</v>
      </c>
      <c r="V31" s="4" t="s">
        <v>7</v>
      </c>
      <c r="W31" s="4" t="s">
        <v>8</v>
      </c>
      <c r="X31" s="4" t="s">
        <v>9</v>
      </c>
      <c r="Y31" s="7" t="s">
        <v>13</v>
      </c>
      <c r="AA31" s="4" t="s">
        <v>3</v>
      </c>
      <c r="AB31" s="4" t="s">
        <v>4</v>
      </c>
      <c r="AC31" s="4" t="s">
        <v>5</v>
      </c>
      <c r="AD31" s="4" t="s">
        <v>6</v>
      </c>
      <c r="AE31" s="4" t="s">
        <v>7</v>
      </c>
      <c r="AF31" s="4" t="s">
        <v>8</v>
      </c>
      <c r="AG31" s="4" t="s">
        <v>9</v>
      </c>
      <c r="AH31" s="7" t="s">
        <v>13</v>
      </c>
    </row>
    <row r="32" spans="1:34" x14ac:dyDescent="0.25">
      <c r="A32" s="2">
        <v>39857</v>
      </c>
      <c r="B32">
        <v>7.026745E-3</v>
      </c>
      <c r="C32">
        <v>9.7091950000000003E-3</v>
      </c>
      <c r="D32">
        <v>-1.0048038E-2</v>
      </c>
      <c r="E32">
        <v>1.321853E-3</v>
      </c>
      <c r="F32">
        <v>-3.0029340000000001E-3</v>
      </c>
      <c r="G32">
        <v>9.5630239999999998E-3</v>
      </c>
      <c r="H32">
        <v>2.8550768000000001E-2</v>
      </c>
      <c r="I32">
        <v>3.0319330000000001E-3</v>
      </c>
      <c r="J32">
        <v>1.7764444000000001E-2</v>
      </c>
      <c r="K32">
        <v>9.7091950000000003E-3</v>
      </c>
      <c r="L32">
        <f t="shared" si="0"/>
        <v>1.3771094517477251E-2</v>
      </c>
      <c r="M32">
        <f t="shared" si="1"/>
        <v>6.1726716926724726E-3</v>
      </c>
      <c r="N32">
        <f t="shared" si="2"/>
        <v>1.5073945080741249E-2</v>
      </c>
      <c r="O32">
        <f t="shared" si="3"/>
        <v>9.924628791030168E-3</v>
      </c>
      <c r="P32">
        <f t="shared" si="4"/>
        <v>1.1222834548339139E-2</v>
      </c>
      <c r="R32">
        <v>7.3145417330498549E-2</v>
      </c>
      <c r="S32">
        <v>0.18846614464424116</v>
      </c>
      <c r="T32">
        <v>0.14397958489465873</v>
      </c>
      <c r="U32">
        <v>0.20406911803625244</v>
      </c>
      <c r="V32">
        <v>1.1670797625911852E-2</v>
      </c>
      <c r="W32">
        <v>0.23858384530377183</v>
      </c>
      <c r="X32">
        <v>0.36096210618549168</v>
      </c>
      <c r="Y32">
        <v>1.4224439118530128E-3</v>
      </c>
      <c r="AA32">
        <f>ABS(R32)</f>
        <v>7.3145417330498549E-2</v>
      </c>
      <c r="AB32">
        <f t="shared" ref="AB32" si="6">ABS(S32)</f>
        <v>0.18846614464424116</v>
      </c>
      <c r="AC32">
        <f t="shared" ref="AC32" si="7">ABS(T32)</f>
        <v>0.14397958489465873</v>
      </c>
      <c r="AD32">
        <f t="shared" ref="AD32" si="8">ABS(U32)</f>
        <v>0.20406911803625244</v>
      </c>
      <c r="AE32">
        <f t="shared" ref="AE32" si="9">ABS(V32)</f>
        <v>1.1670797625911852E-2</v>
      </c>
      <c r="AF32">
        <f t="shared" ref="AF32" si="10">ABS(W32)</f>
        <v>0.23858384530377183</v>
      </c>
      <c r="AG32">
        <f t="shared" ref="AG32" si="11">ABS(X32)</f>
        <v>0.36096210618549168</v>
      </c>
      <c r="AH32">
        <f t="shared" ref="AH32" si="12">ABS(Y32)</f>
        <v>1.4224439118530128E-3</v>
      </c>
    </row>
    <row r="33" spans="1:25" x14ac:dyDescent="0.25">
      <c r="A33" s="2">
        <v>39860</v>
      </c>
      <c r="B33">
        <v>-1.1494996E-2</v>
      </c>
      <c r="C33">
        <v>-2.4629090999999999E-2</v>
      </c>
      <c r="D33">
        <v>-4.6629445999999998E-2</v>
      </c>
      <c r="E33">
        <v>-4.5613986000000002E-2</v>
      </c>
      <c r="F33">
        <v>-1.3166304E-2</v>
      </c>
      <c r="G33">
        <v>-3.7644359999999999E-3</v>
      </c>
      <c r="H33">
        <v>3.9992869999999998E-3</v>
      </c>
      <c r="I33">
        <v>-1.2721713000000001E-2</v>
      </c>
      <c r="J33">
        <v>-6.8504409999999996E-3</v>
      </c>
      <c r="K33">
        <v>-2.4629090999999999E-2</v>
      </c>
      <c r="L33">
        <f t="shared" si="0"/>
        <v>-1.6474881111048494E-2</v>
      </c>
      <c r="M33">
        <f t="shared" si="1"/>
        <v>-8.7807987037760681E-3</v>
      </c>
      <c r="N33">
        <f t="shared" si="2"/>
        <v>-1.2959164732979221E-2</v>
      </c>
      <c r="O33">
        <f t="shared" si="3"/>
        <v>-1.8710132526749617E-2</v>
      </c>
      <c r="P33">
        <f t="shared" si="4"/>
        <v>-1.880864327122905E-2</v>
      </c>
    </row>
    <row r="34" spans="1:25" x14ac:dyDescent="0.25">
      <c r="A34" s="2">
        <v>39861</v>
      </c>
      <c r="B34">
        <v>-4.1136038E-2</v>
      </c>
      <c r="C34">
        <v>-5.0687494999999999E-2</v>
      </c>
      <c r="D34">
        <v>0</v>
      </c>
      <c r="E34">
        <v>0</v>
      </c>
      <c r="F34">
        <v>-2.4655731E-2</v>
      </c>
      <c r="G34">
        <v>-1.3596231E-2</v>
      </c>
      <c r="H34">
        <v>-4.8829600000000001E-2</v>
      </c>
      <c r="I34">
        <v>-3.0934994E-2</v>
      </c>
      <c r="J34">
        <v>-3.8322770999999999E-2</v>
      </c>
      <c r="K34">
        <v>-5.0687494999999999E-2</v>
      </c>
      <c r="L34">
        <f t="shared" si="0"/>
        <v>-4.7192505640310106E-2</v>
      </c>
      <c r="M34">
        <f t="shared" si="1"/>
        <v>-1.1235435478566612E-2</v>
      </c>
      <c r="N34">
        <f t="shared" si="2"/>
        <v>-4.2271013200281947E-2</v>
      </c>
      <c r="O34">
        <f t="shared" si="3"/>
        <v>-2.6685587209336128E-2</v>
      </c>
      <c r="P34">
        <f t="shared" si="4"/>
        <v>-4.257534687347829E-2</v>
      </c>
      <c r="R34" t="s">
        <v>14</v>
      </c>
      <c r="T34">
        <f>SUMPRODUCT(K3:K288-O3:O288,K3:K288-O3:O288)/(2*S3)+X34*X35*SUM(AA32:AH32)+X34*(1-X35)*0.5*SUMPRODUCT(R32:Y32,R32:Y32)</f>
        <v>1.4078397967131853E-4</v>
      </c>
      <c r="W34" t="s">
        <v>22</v>
      </c>
      <c r="X34">
        <v>1E-4</v>
      </c>
    </row>
    <row r="35" spans="1:25" x14ac:dyDescent="0.25">
      <c r="A35" s="2">
        <v>39862</v>
      </c>
      <c r="B35">
        <v>-2.6314989999999998E-3</v>
      </c>
      <c r="C35">
        <v>-1.2101138000000001E-2</v>
      </c>
      <c r="D35">
        <v>-9.5081699999999996E-4</v>
      </c>
      <c r="E35">
        <v>-2.7643350000000001E-3</v>
      </c>
      <c r="F35">
        <v>-6.7903110000000003E-3</v>
      </c>
      <c r="G35">
        <v>-1.4634038E-2</v>
      </c>
      <c r="H35">
        <v>-4.351059E-3</v>
      </c>
      <c r="I35">
        <v>-3.303102E-3</v>
      </c>
      <c r="J35">
        <v>-3.342261E-3</v>
      </c>
      <c r="K35">
        <v>-1.2101138000000001E-2</v>
      </c>
      <c r="L35">
        <f t="shared" si="0"/>
        <v>-2.1013802947634358E-3</v>
      </c>
      <c r="M35">
        <f t="shared" si="1"/>
        <v>-8.7293923584171127E-4</v>
      </c>
      <c r="N35">
        <f t="shared" si="2"/>
        <v>-4.4754625983151712E-3</v>
      </c>
      <c r="O35">
        <f t="shared" si="3"/>
        <v>-5.1773856170463069E-3</v>
      </c>
      <c r="P35">
        <f t="shared" si="4"/>
        <v>-4.1077884833412483E-3</v>
      </c>
      <c r="W35" t="s">
        <v>28</v>
      </c>
      <c r="X35">
        <v>1E-4</v>
      </c>
    </row>
    <row r="36" spans="1:25" x14ac:dyDescent="0.25">
      <c r="A36" s="2">
        <v>39863</v>
      </c>
      <c r="B36">
        <v>2.4654643E-2</v>
      </c>
      <c r="C36">
        <v>3.2923209000000002E-2</v>
      </c>
      <c r="D36">
        <v>-1.2096922E-2</v>
      </c>
      <c r="E36">
        <v>2.434631E-3</v>
      </c>
      <c r="F36">
        <v>2.890896E-3</v>
      </c>
      <c r="G36">
        <v>3.0757860000000001E-3</v>
      </c>
      <c r="H36">
        <v>1.4105089999999999E-3</v>
      </c>
      <c r="I36">
        <v>2.5694799999999999E-3</v>
      </c>
      <c r="J36">
        <v>6.7644979999999999E-3</v>
      </c>
      <c r="K36">
        <v>3.2923209000000002E-2</v>
      </c>
      <c r="L36">
        <f t="shared" si="0"/>
        <v>6.7481926398386908E-3</v>
      </c>
      <c r="M36">
        <f t="shared" si="1"/>
        <v>3.1283691752547766E-3</v>
      </c>
      <c r="N36">
        <f t="shared" si="2"/>
        <v>7.7250496759351753E-3</v>
      </c>
      <c r="O36">
        <f t="shared" si="3"/>
        <v>5.1115835935789684E-3</v>
      </c>
      <c r="P36">
        <f t="shared" si="4"/>
        <v>7.2148301883420227E-3</v>
      </c>
    </row>
    <row r="37" spans="1:25" x14ac:dyDescent="0.25">
      <c r="A37" s="2">
        <v>39864</v>
      </c>
      <c r="B37">
        <v>-3.5840610000000002E-2</v>
      </c>
      <c r="C37">
        <v>-4.9775680000000003E-2</v>
      </c>
      <c r="D37">
        <v>-1.1478573000000001E-2</v>
      </c>
      <c r="E37">
        <v>-4.8746750999999998E-2</v>
      </c>
      <c r="F37">
        <v>-3.2706045000000003E-2</v>
      </c>
      <c r="G37">
        <v>-1.8869227999999998E-2</v>
      </c>
      <c r="H37">
        <v>-2.5879447999999999E-2</v>
      </c>
      <c r="I37">
        <v>-3.7924004999999997E-2</v>
      </c>
      <c r="J37">
        <v>-2.7294441999999999E-2</v>
      </c>
      <c r="K37">
        <v>-4.9775680000000003E-2</v>
      </c>
      <c r="L37">
        <f t="shared" si="0"/>
        <v>-4.2482123704355154E-2</v>
      </c>
      <c r="M37">
        <f t="shared" si="1"/>
        <v>-1.6221448164472553E-2</v>
      </c>
      <c r="N37">
        <f t="shared" si="2"/>
        <v>-4.1039791660679836E-2</v>
      </c>
      <c r="O37">
        <f t="shared" si="3"/>
        <v>-3.6366250838099898E-2</v>
      </c>
      <c r="P37">
        <f t="shared" si="4"/>
        <v>-4.1936909689003973E-2</v>
      </c>
    </row>
    <row r="38" spans="1:25" x14ac:dyDescent="0.25">
      <c r="A38" s="2">
        <v>39867</v>
      </c>
      <c r="B38">
        <v>1.7303168000000001E-2</v>
      </c>
      <c r="C38">
        <v>2.9566248E-2</v>
      </c>
      <c r="D38">
        <v>-3.5315355999999999E-2</v>
      </c>
      <c r="E38">
        <v>-1.9673359000000001E-2</v>
      </c>
      <c r="F38">
        <v>-9.9228179999999999E-3</v>
      </c>
      <c r="G38">
        <v>-5.4378899999999999E-3</v>
      </c>
      <c r="H38">
        <v>-1.2554261000000001E-2</v>
      </c>
      <c r="I38">
        <v>-1.2159595E-2</v>
      </c>
      <c r="J38">
        <v>9.6778699999999999E-3</v>
      </c>
      <c r="K38">
        <v>2.9566248E-2</v>
      </c>
      <c r="L38">
        <f t="shared" si="0"/>
        <v>1.417124815377879E-3</v>
      </c>
      <c r="M38">
        <f t="shared" si="1"/>
        <v>-4.6203591876570593E-3</v>
      </c>
      <c r="N38">
        <f t="shared" si="2"/>
        <v>1.3483185260823594E-3</v>
      </c>
      <c r="O38">
        <f t="shared" si="3"/>
        <v>-6.9611201300986128E-3</v>
      </c>
      <c r="P38">
        <f t="shared" si="4"/>
        <v>1.9774047056798061E-3</v>
      </c>
      <c r="R38" t="s">
        <v>29</v>
      </c>
    </row>
    <row r="39" spans="1:25" x14ac:dyDescent="0.25">
      <c r="A39" s="2">
        <v>39868</v>
      </c>
      <c r="B39">
        <v>1.7254060000000001E-3</v>
      </c>
      <c r="C39">
        <v>-4.1516549999999998E-3</v>
      </c>
      <c r="D39">
        <v>3.9320053000000001E-2</v>
      </c>
      <c r="E39">
        <v>-1.0393087000000001E-2</v>
      </c>
      <c r="F39">
        <v>-8.9473799999999996E-3</v>
      </c>
      <c r="G39">
        <v>-1.469498E-2</v>
      </c>
      <c r="H39">
        <v>0</v>
      </c>
      <c r="I39">
        <v>-9.4470319999999993E-3</v>
      </c>
      <c r="J39">
        <v>-1.1881111999999999E-2</v>
      </c>
      <c r="K39">
        <v>-4.1516549999999998E-3</v>
      </c>
      <c r="L39">
        <f t="shared" si="0"/>
        <v>-1.0030114933889334E-2</v>
      </c>
      <c r="M39">
        <f t="shared" si="1"/>
        <v>-3.5599085413480589E-4</v>
      </c>
      <c r="N39">
        <f t="shared" si="2"/>
        <v>-1.4208750085972759E-2</v>
      </c>
      <c r="O39">
        <f t="shared" si="3"/>
        <v>-8.4897915389154886E-3</v>
      </c>
      <c r="P39">
        <f t="shared" si="4"/>
        <v>-1.1150049597591147E-2</v>
      </c>
      <c r="R39" s="4" t="s">
        <v>3</v>
      </c>
      <c r="S39" s="4" t="s">
        <v>4</v>
      </c>
      <c r="T39" s="4" t="s">
        <v>5</v>
      </c>
      <c r="U39" s="4" t="s">
        <v>6</v>
      </c>
      <c r="V39" s="4" t="s">
        <v>7</v>
      </c>
      <c r="W39" s="4" t="s">
        <v>8</v>
      </c>
      <c r="X39" s="4" t="s">
        <v>9</v>
      </c>
      <c r="Y39" s="7" t="s">
        <v>13</v>
      </c>
    </row>
    <row r="40" spans="1:25" x14ac:dyDescent="0.25">
      <c r="A40" s="2">
        <v>39869</v>
      </c>
      <c r="B40">
        <v>4.9758529999999997E-3</v>
      </c>
      <c r="C40">
        <v>1.0197804E-2</v>
      </c>
      <c r="D40">
        <v>-1.0715038E-2</v>
      </c>
      <c r="E40">
        <v>-1.2797967E-2</v>
      </c>
      <c r="F40">
        <v>8.5058040000000005E-3</v>
      </c>
      <c r="G40">
        <v>2.6160742000000001E-2</v>
      </c>
      <c r="H40">
        <v>0</v>
      </c>
      <c r="I40">
        <v>-9.9418300000000005E-4</v>
      </c>
      <c r="J40">
        <v>6.0993640000000003E-3</v>
      </c>
      <c r="K40">
        <v>1.0197804E-2</v>
      </c>
      <c r="L40">
        <f t="shared" si="0"/>
        <v>3.5982471337068747E-3</v>
      </c>
      <c r="M40">
        <f t="shared" si="1"/>
        <v>3.3848761575030299E-3</v>
      </c>
      <c r="N40">
        <f t="shared" si="2"/>
        <v>7.5436993239531829E-3</v>
      </c>
      <c r="O40">
        <f t="shared" si="3"/>
        <v>6.7544094348422372E-3</v>
      </c>
      <c r="P40">
        <f t="shared" si="4"/>
        <v>7.8073819111306956E-3</v>
      </c>
      <c r="R40">
        <v>0.1448605111931997</v>
      </c>
      <c r="S40">
        <v>-6.4914864400328329E-2</v>
      </c>
      <c r="T40">
        <v>0</v>
      </c>
      <c r="U40">
        <v>8.2843047983264709E-2</v>
      </c>
      <c r="V40">
        <v>-0.28593881206830318</v>
      </c>
      <c r="W40">
        <v>0.63789506601462898</v>
      </c>
      <c r="X40">
        <v>0.960641125439473</v>
      </c>
      <c r="Y40">
        <v>1.1364384290671859E-3</v>
      </c>
    </row>
    <row r="41" spans="1:25" x14ac:dyDescent="0.25">
      <c r="A41" s="2">
        <v>39870</v>
      </c>
      <c r="B41">
        <v>6.7175899999999996E-4</v>
      </c>
      <c r="C41">
        <v>-8.1200800000000002E-4</v>
      </c>
      <c r="D41">
        <v>-1.5905668000000001E-2</v>
      </c>
      <c r="E41">
        <v>2.4757228999999999E-2</v>
      </c>
      <c r="F41">
        <v>1.7155199999999999E-2</v>
      </c>
      <c r="G41">
        <v>-4.4104399999999997E-4</v>
      </c>
      <c r="H41">
        <v>-1.3610429999999999E-3</v>
      </c>
      <c r="I41">
        <v>2.0902647999999999E-2</v>
      </c>
      <c r="J41">
        <v>-2.3311640000000002E-3</v>
      </c>
      <c r="K41">
        <v>-8.1200800000000002E-4</v>
      </c>
      <c r="L41">
        <f t="shared" si="0"/>
        <v>9.2537893661489932E-3</v>
      </c>
      <c r="M41">
        <f t="shared" si="1"/>
        <v>6.8794670986788483E-3</v>
      </c>
      <c r="N41">
        <f t="shared" si="2"/>
        <v>1.0971133664394967E-2</v>
      </c>
      <c r="O41">
        <f t="shared" si="3"/>
        <v>1.1434599616621161E-2</v>
      </c>
      <c r="P41">
        <f t="shared" si="4"/>
        <v>8.6721446748907072E-3</v>
      </c>
    </row>
    <row r="42" spans="1:25" x14ac:dyDescent="0.25">
      <c r="A42" s="2">
        <v>39871</v>
      </c>
      <c r="B42">
        <v>-5.8918950000000003E-3</v>
      </c>
      <c r="C42">
        <v>-9.5184510000000007E-3</v>
      </c>
      <c r="D42">
        <v>-2.3846498000000001E-2</v>
      </c>
      <c r="E42">
        <v>-2.5399626000000002E-2</v>
      </c>
      <c r="F42">
        <v>-2.2077662000000001E-2</v>
      </c>
      <c r="G42">
        <v>1.4706431000000001E-2</v>
      </c>
      <c r="H42" s="1">
        <v>7.8572099999999999E-5</v>
      </c>
      <c r="I42">
        <v>-1.8261438000000001E-2</v>
      </c>
      <c r="J42">
        <v>-6.1501309999999997E-3</v>
      </c>
      <c r="K42">
        <v>-9.5184510000000007E-3</v>
      </c>
      <c r="L42">
        <f t="shared" si="0"/>
        <v>-1.4885135838115725E-2</v>
      </c>
      <c r="M42">
        <f t="shared" si="1"/>
        <v>-5.2183237803965204E-3</v>
      </c>
      <c r="N42">
        <f t="shared" si="2"/>
        <v>-1.2489958084129969E-2</v>
      </c>
      <c r="O42">
        <f t="shared" si="3"/>
        <v>-1.1862323269242055E-2</v>
      </c>
      <c r="P42">
        <f t="shared" si="4"/>
        <v>-1.7030255391683763E-2</v>
      </c>
      <c r="R42" t="s">
        <v>14</v>
      </c>
      <c r="T42">
        <f>SUMPRODUCT(K3:K288-P3:P288,K3:K288-P3:P288)</f>
        <v>6.5608490450683593E-2</v>
      </c>
    </row>
    <row r="43" spans="1:25" x14ac:dyDescent="0.25">
      <c r="A43" s="2">
        <v>39874</v>
      </c>
      <c r="B43">
        <v>-1.3689039E-2</v>
      </c>
      <c r="C43">
        <v>-3.1323951000000003E-2</v>
      </c>
      <c r="D43">
        <v>-4.7741863000000002E-2</v>
      </c>
      <c r="E43">
        <v>-3.5395107000000002E-2</v>
      </c>
      <c r="F43">
        <v>-5.4815958999999997E-2</v>
      </c>
      <c r="G43">
        <v>-3.8832861000000003E-2</v>
      </c>
      <c r="H43">
        <v>-5.2364887999999998E-2</v>
      </c>
      <c r="I43">
        <v>-4.8816774E-2</v>
      </c>
      <c r="J43">
        <v>-3.5364882E-2</v>
      </c>
      <c r="K43">
        <v>-3.1323951000000003E-2</v>
      </c>
      <c r="L43">
        <f t="shared" si="0"/>
        <v>-5.3993688474745956E-2</v>
      </c>
      <c r="M43">
        <f t="shared" si="1"/>
        <v>-2.4367578473221976E-2</v>
      </c>
      <c r="N43">
        <f t="shared" si="2"/>
        <v>-5.3318507129236546E-2</v>
      </c>
      <c r="O43">
        <f t="shared" si="3"/>
        <v>-4.9580816613012994E-2</v>
      </c>
      <c r="P43">
        <f t="shared" si="4"/>
        <v>-5.6838621696294493E-2</v>
      </c>
    </row>
    <row r="44" spans="1:25" x14ac:dyDescent="0.25">
      <c r="A44" s="2">
        <v>39875</v>
      </c>
      <c r="B44">
        <v>2.192959E-3</v>
      </c>
      <c r="C44">
        <v>4.1229489999999999E-3</v>
      </c>
      <c r="D44">
        <v>-6.4273919999999997E-3</v>
      </c>
      <c r="E44">
        <v>-5.2291830000000001E-3</v>
      </c>
      <c r="F44">
        <v>-3.1860804E-2</v>
      </c>
      <c r="G44">
        <v>-6.9511579999999998E-3</v>
      </c>
      <c r="H44">
        <v>6.4096609999999997E-3</v>
      </c>
      <c r="I44">
        <v>-2.0299095999999999E-2</v>
      </c>
      <c r="J44">
        <v>1.2903070000000001E-3</v>
      </c>
      <c r="K44">
        <v>4.1229489999999999E-3</v>
      </c>
      <c r="L44">
        <f t="shared" si="0"/>
        <v>-8.7296978779254474E-3</v>
      </c>
      <c r="M44">
        <f t="shared" si="1"/>
        <v>-3.4976725493354095E-3</v>
      </c>
      <c r="N44">
        <f t="shared" si="2"/>
        <v>-1.0101587267907178E-2</v>
      </c>
      <c r="O44">
        <f t="shared" si="3"/>
        <v>-1.0341514925846456E-2</v>
      </c>
      <c r="P44">
        <f t="shared" si="4"/>
        <v>-1.3572982338471042E-2</v>
      </c>
    </row>
    <row r="45" spans="1:25" x14ac:dyDescent="0.25">
      <c r="A45" s="2">
        <v>39876</v>
      </c>
      <c r="B45">
        <v>7.9132149999999995E-3</v>
      </c>
      <c r="C45">
        <v>2.72274E-3</v>
      </c>
      <c r="D45">
        <v>2.3475389999999999E-2</v>
      </c>
      <c r="E45">
        <v>5.2829213E-2</v>
      </c>
      <c r="F45">
        <v>3.7389099000000002E-2</v>
      </c>
      <c r="G45">
        <v>8.4349170000000001E-3</v>
      </c>
      <c r="H45">
        <v>5.1674378E-2</v>
      </c>
      <c r="I45">
        <v>3.6548459999999998E-2</v>
      </c>
      <c r="J45">
        <v>3.0311505999999998E-2</v>
      </c>
      <c r="K45">
        <v>2.72274E-3</v>
      </c>
      <c r="L45">
        <f t="shared" si="0"/>
        <v>3.6822951097727132E-2</v>
      </c>
      <c r="M45">
        <f t="shared" si="1"/>
        <v>2.3313059187619143E-2</v>
      </c>
      <c r="N45">
        <f t="shared" si="2"/>
        <v>4.2186657658051782E-2</v>
      </c>
      <c r="O45">
        <f t="shared" si="3"/>
        <v>4.0464910617831078E-2</v>
      </c>
      <c r="P45">
        <f t="shared" si="4"/>
        <v>3.9463319742771605E-2</v>
      </c>
    </row>
    <row r="46" spans="1:25" x14ac:dyDescent="0.25">
      <c r="A46" s="2">
        <v>39877</v>
      </c>
      <c r="B46">
        <v>-3.8522229999999998E-2</v>
      </c>
      <c r="C46">
        <v>-4.3381573999999999E-2</v>
      </c>
      <c r="D46">
        <v>-4.3463291000000001E-2</v>
      </c>
      <c r="E46">
        <v>-5.1537616000000001E-2</v>
      </c>
      <c r="F46">
        <v>-3.2333707000000003E-2</v>
      </c>
      <c r="G46">
        <v>1.9360241E-2</v>
      </c>
      <c r="H46">
        <v>-2.7268058000000001E-2</v>
      </c>
      <c r="I46">
        <v>-3.7465203000000002E-2</v>
      </c>
      <c r="J46">
        <v>-8.6718379999999994E-3</v>
      </c>
      <c r="K46">
        <v>-4.3381573999999999E-2</v>
      </c>
      <c r="L46">
        <f t="shared" si="0"/>
        <v>-2.6020391478871245E-2</v>
      </c>
      <c r="M46">
        <f t="shared" si="1"/>
        <v>-1.38158101500732E-2</v>
      </c>
      <c r="N46">
        <f t="shared" si="2"/>
        <v>-2.3085084323269167E-2</v>
      </c>
      <c r="O46">
        <f t="shared" si="3"/>
        <v>-2.4561395937075889E-2</v>
      </c>
      <c r="P46">
        <f t="shared" si="4"/>
        <v>-2.4642653640000522E-2</v>
      </c>
    </row>
    <row r="47" spans="1:25" x14ac:dyDescent="0.25">
      <c r="A47" s="2">
        <v>39878</v>
      </c>
      <c r="B47">
        <v>7.9587979999999996E-3</v>
      </c>
      <c r="C47">
        <v>-1.9234871000000001E-2</v>
      </c>
      <c r="D47">
        <v>1.215289E-3</v>
      </c>
      <c r="E47">
        <v>-7.9001760000000001E-3</v>
      </c>
      <c r="F47">
        <v>2.2661E-4</v>
      </c>
      <c r="G47">
        <v>-3.5657547999999997E-2</v>
      </c>
      <c r="H47">
        <v>-7.0897520000000004E-3</v>
      </c>
      <c r="I47">
        <v>-1.1172039999999999E-2</v>
      </c>
      <c r="J47">
        <v>-2.0976469999999998E-3</v>
      </c>
      <c r="K47">
        <v>-1.9234871000000001E-2</v>
      </c>
      <c r="L47">
        <f t="shared" si="0"/>
        <v>-1.3126778482045623E-2</v>
      </c>
      <c r="M47">
        <f t="shared" si="1"/>
        <v>-3.1517437470149133E-3</v>
      </c>
      <c r="N47">
        <f t="shared" si="2"/>
        <v>-9.882785940408912E-3</v>
      </c>
      <c r="O47">
        <f t="shared" si="3"/>
        <v>-1.0726938540809276E-2</v>
      </c>
      <c r="P47">
        <f t="shared" si="4"/>
        <v>-8.2430951947301111E-3</v>
      </c>
    </row>
    <row r="48" spans="1:25" x14ac:dyDescent="0.25">
      <c r="A48" s="2">
        <v>39881</v>
      </c>
      <c r="B48">
        <v>-7.1334730000000004E-3</v>
      </c>
      <c r="C48">
        <v>-1.6436981999999999E-2</v>
      </c>
      <c r="D48">
        <v>-1.0074280999999999E-2</v>
      </c>
      <c r="E48">
        <v>6.9634609999999998E-3</v>
      </c>
      <c r="F48">
        <v>3.3083119999999999E-3</v>
      </c>
      <c r="G48">
        <v>-1.2212677999999999E-2</v>
      </c>
      <c r="H48">
        <v>-9.8584339999999993E-3</v>
      </c>
      <c r="I48">
        <v>-1.77944E-4</v>
      </c>
      <c r="J48">
        <v>-5.5583639999999997E-3</v>
      </c>
      <c r="K48">
        <v>-1.6436981999999999E-2</v>
      </c>
      <c r="L48">
        <f t="shared" si="0"/>
        <v>-6.7196091627559733E-3</v>
      </c>
      <c r="M48">
        <f t="shared" si="1"/>
        <v>3.0712245111747709E-4</v>
      </c>
      <c r="N48">
        <f t="shared" si="2"/>
        <v>-3.7176524338061265E-3</v>
      </c>
      <c r="O48">
        <f t="shared" si="3"/>
        <v>-2.1818370962816492E-3</v>
      </c>
      <c r="P48">
        <f t="shared" si="4"/>
        <v>-4.4208884040022774E-3</v>
      </c>
    </row>
    <row r="49" spans="1:16" x14ac:dyDescent="0.25">
      <c r="A49" s="2">
        <v>39882</v>
      </c>
      <c r="B49">
        <v>1.1234009E-2</v>
      </c>
      <c r="C49">
        <v>2.1882652999999998E-2</v>
      </c>
      <c r="D49">
        <v>6.1718710000000003E-2</v>
      </c>
      <c r="E49">
        <v>5.1456064000000003E-2</v>
      </c>
      <c r="F49">
        <v>4.7628048999999999E-2</v>
      </c>
      <c r="G49">
        <v>-4.3914899999999996E-3</v>
      </c>
      <c r="H49">
        <v>5.4398074999999997E-2</v>
      </c>
      <c r="I49">
        <v>5.0459269000000001E-2</v>
      </c>
      <c r="J49">
        <v>2.4909954000000002E-2</v>
      </c>
      <c r="K49">
        <v>2.1882652999999998E-2</v>
      </c>
      <c r="L49">
        <f t="shared" si="0"/>
        <v>4.8059997492328817E-2</v>
      </c>
      <c r="M49">
        <f t="shared" si="1"/>
        <v>2.6582807606791669E-2</v>
      </c>
      <c r="N49">
        <f t="shared" si="2"/>
        <v>4.4388053897604085E-2</v>
      </c>
      <c r="O49">
        <f t="shared" si="3"/>
        <v>4.3261094760373105E-2</v>
      </c>
      <c r="P49">
        <f t="shared" si="4"/>
        <v>4.6935698506637355E-2</v>
      </c>
    </row>
    <row r="50" spans="1:16" x14ac:dyDescent="0.25">
      <c r="A50" s="2">
        <v>39883</v>
      </c>
      <c r="B50">
        <v>-1.4103609999999999E-3</v>
      </c>
      <c r="C50">
        <v>2.4432446E-2</v>
      </c>
      <c r="D50">
        <v>2.4428169999999999E-3</v>
      </c>
      <c r="E50">
        <v>6.952911E-3</v>
      </c>
      <c r="F50">
        <v>-5.7767740000000001E-3</v>
      </c>
      <c r="G50">
        <v>4.4514005000000002E-2</v>
      </c>
      <c r="H50">
        <v>2.5773199999999999E-4</v>
      </c>
      <c r="I50">
        <v>3.9504639999999999E-3</v>
      </c>
      <c r="J50">
        <v>1.2815719999999999E-2</v>
      </c>
      <c r="K50">
        <v>2.4432446E-2</v>
      </c>
      <c r="L50">
        <f t="shared" si="0"/>
        <v>2.3357485943927073E-2</v>
      </c>
      <c r="M50">
        <f t="shared" si="1"/>
        <v>7.7098804424547262E-3</v>
      </c>
      <c r="N50">
        <f t="shared" si="2"/>
        <v>1.7717157192733771E-2</v>
      </c>
      <c r="O50">
        <f t="shared" si="3"/>
        <v>1.6735223442417027E-2</v>
      </c>
      <c r="P50">
        <f t="shared" si="4"/>
        <v>1.9484228322101945E-2</v>
      </c>
    </row>
    <row r="51" spans="1:16" x14ac:dyDescent="0.25">
      <c r="A51" s="2">
        <v>39884</v>
      </c>
      <c r="B51">
        <v>1.0974424E-2</v>
      </c>
      <c r="C51">
        <v>2.7419110000000001E-3</v>
      </c>
      <c r="D51">
        <v>3.9921067999999997E-2</v>
      </c>
      <c r="E51">
        <v>1.0703605999999999E-2</v>
      </c>
      <c r="F51">
        <v>4.9420159999999996E-3</v>
      </c>
      <c r="G51">
        <v>-2.4409813999999998E-2</v>
      </c>
      <c r="H51">
        <v>8.9024020000000002E-3</v>
      </c>
      <c r="I51">
        <v>9.8011910000000008E-3</v>
      </c>
      <c r="J51">
        <v>5.419475E-3</v>
      </c>
      <c r="K51">
        <v>2.7419110000000001E-3</v>
      </c>
      <c r="L51">
        <f t="shared" si="0"/>
        <v>1.6464544367638279E-2</v>
      </c>
      <c r="M51">
        <f t="shared" si="1"/>
        <v>6.5541656237490045E-3</v>
      </c>
      <c r="N51">
        <f t="shared" si="2"/>
        <v>7.8776412660526429E-3</v>
      </c>
      <c r="O51">
        <f t="shared" si="3"/>
        <v>6.4885437252998378E-3</v>
      </c>
      <c r="P51">
        <f t="shared" si="4"/>
        <v>1.3115177913200155E-2</v>
      </c>
    </row>
    <row r="52" spans="1:16" x14ac:dyDescent="0.25">
      <c r="A52" s="2">
        <v>39885</v>
      </c>
      <c r="B52">
        <v>3.2132530000000001E-3</v>
      </c>
      <c r="C52">
        <v>3.4066675999999997E-2</v>
      </c>
      <c r="D52">
        <v>7.7092380000000002E-3</v>
      </c>
      <c r="E52">
        <v>-6.6246800000000004E-4</v>
      </c>
      <c r="F52">
        <v>1.1144266E-2</v>
      </c>
      <c r="G52">
        <v>5.0260010000000001E-2</v>
      </c>
      <c r="H52">
        <v>-3.5053189999999998E-3</v>
      </c>
      <c r="I52">
        <v>6.1938849999999997E-3</v>
      </c>
      <c r="J52">
        <v>1.8689238E-2</v>
      </c>
      <c r="K52">
        <v>3.4066675999999997E-2</v>
      </c>
      <c r="L52">
        <f t="shared" si="0"/>
        <v>2.6963474499740188E-2</v>
      </c>
      <c r="M52">
        <f t="shared" si="1"/>
        <v>9.6902731514515797E-3</v>
      </c>
      <c r="N52">
        <f t="shared" si="2"/>
        <v>2.4063631825467169E-2</v>
      </c>
      <c r="O52">
        <f t="shared" si="3"/>
        <v>2.1905507002069873E-2</v>
      </c>
      <c r="P52">
        <f t="shared" si="4"/>
        <v>2.9366905084784786E-2</v>
      </c>
    </row>
    <row r="53" spans="1:16" x14ac:dyDescent="0.25">
      <c r="A53" s="2">
        <v>39888</v>
      </c>
      <c r="B53">
        <v>2.1424500000000001E-4</v>
      </c>
      <c r="C53">
        <v>5.6094760000000004E-3</v>
      </c>
      <c r="D53">
        <v>-3.5221559999999998E-3</v>
      </c>
      <c r="E53">
        <v>2.2741266999999999E-2</v>
      </c>
      <c r="F53">
        <v>2.8960896E-2</v>
      </c>
      <c r="G53">
        <v>1.7661194000000002E-2</v>
      </c>
      <c r="H53">
        <v>-1.0512580000000001E-2</v>
      </c>
      <c r="I53">
        <v>2.6677664E-2</v>
      </c>
      <c r="J53">
        <v>1.0253879E-2</v>
      </c>
      <c r="K53">
        <v>5.6094760000000004E-3</v>
      </c>
      <c r="L53">
        <f t="shared" si="0"/>
        <v>2.8854974313617394E-2</v>
      </c>
      <c r="M53">
        <f t="shared" si="1"/>
        <v>1.1080270295326313E-2</v>
      </c>
      <c r="N53">
        <f t="shared" si="2"/>
        <v>2.6101015715327656E-2</v>
      </c>
      <c r="O53">
        <f t="shared" si="3"/>
        <v>2.3168086551996717E-2</v>
      </c>
      <c r="P53">
        <f t="shared" si="4"/>
        <v>3.0486880726841348E-2</v>
      </c>
    </row>
    <row r="54" spans="1:16" x14ac:dyDescent="0.25">
      <c r="A54" s="2">
        <v>39889</v>
      </c>
      <c r="B54">
        <v>-7.1187500000000001E-3</v>
      </c>
      <c r="C54">
        <v>-1.3630132999999999E-2</v>
      </c>
      <c r="D54">
        <v>3.1634284999999998E-2</v>
      </c>
      <c r="E54">
        <v>-1.4135646E-2</v>
      </c>
      <c r="F54">
        <v>-1.787311E-3</v>
      </c>
      <c r="G54">
        <v>3.1303343999999997E-2</v>
      </c>
      <c r="H54">
        <v>2.3145506999999999E-2</v>
      </c>
      <c r="I54">
        <v>-5.6837060000000002E-3</v>
      </c>
      <c r="J54">
        <v>2.688691E-3</v>
      </c>
      <c r="K54">
        <v>-1.3630132999999999E-2</v>
      </c>
      <c r="L54">
        <f t="shared" si="0"/>
        <v>5.3479118460752519E-4</v>
      </c>
      <c r="M54">
        <f t="shared" si="1"/>
        <v>6.3707218832991016E-3</v>
      </c>
      <c r="N54">
        <f t="shared" si="2"/>
        <v>1.8788001333081004E-3</v>
      </c>
      <c r="O54">
        <f t="shared" si="3"/>
        <v>7.0875673535938932E-3</v>
      </c>
      <c r="P54">
        <f t="shared" si="4"/>
        <v>1.5689354555508822E-3</v>
      </c>
    </row>
    <row r="55" spans="1:16" x14ac:dyDescent="0.25">
      <c r="A55" s="2">
        <v>39890</v>
      </c>
      <c r="B55">
        <v>1.8918030000000001E-3</v>
      </c>
      <c r="C55">
        <v>-8.8136900000000001E-4</v>
      </c>
      <c r="D55">
        <v>2.0643416000000001E-2</v>
      </c>
      <c r="E55">
        <v>2.1417599999999999E-3</v>
      </c>
      <c r="F55">
        <v>-1.3599613999999999E-2</v>
      </c>
      <c r="G55">
        <v>2.8942379999999999E-3</v>
      </c>
      <c r="H55">
        <v>1.5844054E-2</v>
      </c>
      <c r="I55">
        <v>-4.204775E-3</v>
      </c>
      <c r="J55">
        <v>6.0125059999999999E-3</v>
      </c>
      <c r="K55">
        <v>-8.8136900000000001E-4</v>
      </c>
      <c r="L55">
        <f t="shared" si="0"/>
        <v>7.2998110630066119E-3</v>
      </c>
      <c r="M55">
        <f t="shared" si="1"/>
        <v>4.0964890346930393E-3</v>
      </c>
      <c r="N55">
        <f t="shared" si="2"/>
        <v>2.8834849102854845E-3</v>
      </c>
      <c r="O55">
        <f t="shared" si="3"/>
        <v>3.3206304467365295E-3</v>
      </c>
      <c r="P55">
        <f t="shared" si="4"/>
        <v>2.7908149863758807E-3</v>
      </c>
    </row>
    <row r="56" spans="1:16" x14ac:dyDescent="0.25">
      <c r="A56" s="2">
        <v>39891</v>
      </c>
      <c r="B56">
        <v>1.9874248000000001E-2</v>
      </c>
      <c r="C56">
        <v>3.0888692999999998E-2</v>
      </c>
      <c r="D56">
        <v>-1.3064131E-2</v>
      </c>
      <c r="E56">
        <v>1.1726823000000001E-2</v>
      </c>
      <c r="F56">
        <v>3.1225839999999999E-3</v>
      </c>
      <c r="G56">
        <v>-3.2931029999999999E-3</v>
      </c>
      <c r="H56">
        <v>7.7176390000000001E-3</v>
      </c>
      <c r="I56">
        <v>7.02835E-3</v>
      </c>
      <c r="J56">
        <v>9.8472739999999996E-3</v>
      </c>
      <c r="K56">
        <v>3.0888692999999998E-2</v>
      </c>
      <c r="L56">
        <f t="shared" si="0"/>
        <v>1.1064118891940315E-2</v>
      </c>
      <c r="M56">
        <f t="shared" si="1"/>
        <v>4.7472995316688591E-3</v>
      </c>
      <c r="N56">
        <f t="shared" si="2"/>
        <v>1.1512629141778436E-2</v>
      </c>
      <c r="O56">
        <f t="shared" si="3"/>
        <v>7.7759539761245314E-3</v>
      </c>
      <c r="P56">
        <f t="shared" si="4"/>
        <v>9.9461795568405471E-3</v>
      </c>
    </row>
    <row r="57" spans="1:16" x14ac:dyDescent="0.25">
      <c r="A57" s="2">
        <v>39892</v>
      </c>
      <c r="B57">
        <v>2.9186989999999999E-3</v>
      </c>
      <c r="C57">
        <v>-9.5172099999999999E-4</v>
      </c>
      <c r="D57">
        <v>-1.9967427999999999E-2</v>
      </c>
      <c r="E57">
        <v>6.2326079999999997E-3</v>
      </c>
      <c r="F57">
        <v>6.7887149999999999E-3</v>
      </c>
      <c r="G57">
        <v>3.3362641999999998E-2</v>
      </c>
      <c r="H57">
        <v>-9.3631549999999997E-3</v>
      </c>
      <c r="I57">
        <v>3.3750030000000001E-3</v>
      </c>
      <c r="J57">
        <v>-6.6543519999999997E-3</v>
      </c>
      <c r="K57">
        <v>-9.5172099999999999E-4</v>
      </c>
      <c r="L57">
        <f t="shared" si="0"/>
        <v>-3.9597356789131816E-3</v>
      </c>
      <c r="M57">
        <f t="shared" si="1"/>
        <v>3.7095203879626811E-3</v>
      </c>
      <c r="N57">
        <f t="shared" si="2"/>
        <v>2.0418490205295989E-3</v>
      </c>
      <c r="O57">
        <f t="shared" si="3"/>
        <v>7.2162517478696446E-3</v>
      </c>
      <c r="P57">
        <f t="shared" si="4"/>
        <v>-9.5903636430658612E-4</v>
      </c>
    </row>
    <row r="58" spans="1:16" x14ac:dyDescent="0.25">
      <c r="A58" s="2">
        <v>39895</v>
      </c>
      <c r="B58">
        <v>3.5968063000000002E-2</v>
      </c>
      <c r="C58">
        <v>5.1330657000000002E-2</v>
      </c>
      <c r="D58">
        <v>6.8366380000000004E-2</v>
      </c>
      <c r="E58">
        <v>2.6109079E-2</v>
      </c>
      <c r="F58">
        <v>2.8196899000000001E-2</v>
      </c>
      <c r="G58">
        <v>0</v>
      </c>
      <c r="H58">
        <v>5.7290098999999997E-2</v>
      </c>
      <c r="I58">
        <v>2.8379433999999999E-2</v>
      </c>
      <c r="J58">
        <v>4.4121570999999998E-2</v>
      </c>
      <c r="K58">
        <v>5.1330657000000002E-2</v>
      </c>
      <c r="L58">
        <f t="shared" si="0"/>
        <v>5.4430953311529633E-2</v>
      </c>
      <c r="M58">
        <f t="shared" si="1"/>
        <v>2.2967835574697115E-2</v>
      </c>
      <c r="N58">
        <f t="shared" si="2"/>
        <v>4.6766089834424235E-2</v>
      </c>
      <c r="O58">
        <f t="shared" si="3"/>
        <v>3.8769297420041766E-2</v>
      </c>
      <c r="P58">
        <f t="shared" si="4"/>
        <v>5.3451793556543212E-2</v>
      </c>
    </row>
    <row r="59" spans="1:16" x14ac:dyDescent="0.25">
      <c r="A59" s="2">
        <v>39896</v>
      </c>
      <c r="B59">
        <v>3.2984239999999999E-3</v>
      </c>
      <c r="C59">
        <v>1.1893994999999999E-2</v>
      </c>
      <c r="D59">
        <v>-2.0626375999999998E-2</v>
      </c>
      <c r="E59">
        <v>2.6280159999999999E-3</v>
      </c>
      <c r="F59">
        <v>-1.0503256000000001E-2</v>
      </c>
      <c r="G59">
        <v>3.2662479000000001E-2</v>
      </c>
      <c r="H59">
        <v>-2.2952804E-2</v>
      </c>
      <c r="I59">
        <v>-3.9238989999999998E-3</v>
      </c>
      <c r="J59">
        <v>2.296045E-3</v>
      </c>
      <c r="K59">
        <v>1.1893994999999999E-2</v>
      </c>
      <c r="L59">
        <f t="shared" si="0"/>
        <v>8.9850005884594044E-3</v>
      </c>
      <c r="M59">
        <f t="shared" si="1"/>
        <v>9.7461833376076795E-4</v>
      </c>
      <c r="N59">
        <f t="shared" si="2"/>
        <v>5.6004241526097327E-3</v>
      </c>
      <c r="O59">
        <f t="shared" si="3"/>
        <v>5.1868887150477187E-3</v>
      </c>
      <c r="P59">
        <f t="shared" si="4"/>
        <v>6.9494900210280586E-3</v>
      </c>
    </row>
    <row r="60" spans="1:16" x14ac:dyDescent="0.25">
      <c r="A60" s="2">
        <v>39897</v>
      </c>
      <c r="B60">
        <v>2.1165071000000001E-2</v>
      </c>
      <c r="C60">
        <v>1.4858013E-2</v>
      </c>
      <c r="D60">
        <v>9.5803199999999998E-3</v>
      </c>
      <c r="E60">
        <v>8.5439810000000008E-3</v>
      </c>
      <c r="F60">
        <v>-2.8674590000000002E-3</v>
      </c>
      <c r="G60">
        <v>-9.7947399999999993E-4</v>
      </c>
      <c r="H60">
        <v>7.7574690000000003E-3</v>
      </c>
      <c r="I60">
        <v>7.125859E-3</v>
      </c>
      <c r="J60">
        <v>8.3096520000000007E-3</v>
      </c>
      <c r="K60">
        <v>1.4858013E-2</v>
      </c>
      <c r="L60">
        <f t="shared" si="0"/>
        <v>1.7053372870711091E-2</v>
      </c>
      <c r="M60">
        <f t="shared" si="1"/>
        <v>5.4325674454374293E-3</v>
      </c>
      <c r="N60">
        <f t="shared" si="2"/>
        <v>1.0816920836423601E-2</v>
      </c>
      <c r="O60">
        <f t="shared" si="3"/>
        <v>7.9108358032437473E-3</v>
      </c>
      <c r="P60">
        <f t="shared" si="4"/>
        <v>1.2198456778016899E-2</v>
      </c>
    </row>
    <row r="61" spans="1:16" x14ac:dyDescent="0.25">
      <c r="A61" s="2">
        <v>39898</v>
      </c>
      <c r="B61">
        <v>-4.9683870000000003E-3</v>
      </c>
      <c r="C61">
        <v>5.4608E-4</v>
      </c>
      <c r="D61">
        <v>2.3052626E-2</v>
      </c>
      <c r="E61">
        <v>8.5068169999999999E-3</v>
      </c>
      <c r="F61">
        <v>6.3638319999999998E-3</v>
      </c>
      <c r="G61">
        <v>1.8268453E-2</v>
      </c>
      <c r="H61">
        <v>1.8723587999999999E-2</v>
      </c>
      <c r="I61">
        <v>4.5643970000000004E-3</v>
      </c>
      <c r="J61">
        <v>1.6417645000000002E-2</v>
      </c>
      <c r="K61">
        <v>5.4608E-4</v>
      </c>
      <c r="L61">
        <f t="shared" si="0"/>
        <v>1.7630888051390309E-2</v>
      </c>
      <c r="M61">
        <f t="shared" si="1"/>
        <v>9.9240297066924797E-3</v>
      </c>
      <c r="N61">
        <f t="shared" si="2"/>
        <v>1.6965494713747229E-2</v>
      </c>
      <c r="O61">
        <f t="shared" si="3"/>
        <v>1.6589832157604741E-2</v>
      </c>
      <c r="P61">
        <f t="shared" si="4"/>
        <v>1.8766319857319816E-2</v>
      </c>
    </row>
    <row r="62" spans="1:16" x14ac:dyDescent="0.25">
      <c r="A62" s="2">
        <v>39899</v>
      </c>
      <c r="B62">
        <v>1.1247874999999999E-2</v>
      </c>
      <c r="C62">
        <v>6.4080359999999998E-3</v>
      </c>
      <c r="D62">
        <v>-2.0524738000000001E-2</v>
      </c>
      <c r="E62">
        <v>-1.3191856E-2</v>
      </c>
      <c r="F62">
        <v>-6.722843E-3</v>
      </c>
      <c r="G62">
        <v>-1.0843809999999999E-3</v>
      </c>
      <c r="H62">
        <v>-1.6143127E-2</v>
      </c>
      <c r="I62">
        <v>-1.3192092000000001E-2</v>
      </c>
      <c r="J62">
        <v>-6.7308610000000003E-3</v>
      </c>
      <c r="K62">
        <v>6.4080359999999998E-3</v>
      </c>
      <c r="L62">
        <f t="shared" si="0"/>
        <v>-1.4492412065641018E-2</v>
      </c>
      <c r="M62">
        <f t="shared" si="1"/>
        <v>-4.3235567510665034E-3</v>
      </c>
      <c r="N62">
        <f t="shared" si="2"/>
        <v>-1.0497903898066756E-2</v>
      </c>
      <c r="O62">
        <f t="shared" si="3"/>
        <v>-9.5197146427446651E-3</v>
      </c>
      <c r="P62">
        <f t="shared" si="4"/>
        <v>-1.1335437219485753E-2</v>
      </c>
    </row>
    <row r="63" spans="1:16" x14ac:dyDescent="0.25">
      <c r="A63" s="2">
        <v>39902</v>
      </c>
      <c r="B63">
        <v>-2.1780193999999999E-2</v>
      </c>
      <c r="C63">
        <v>-4.0576634E-2</v>
      </c>
      <c r="D63">
        <v>-3.5439357999999997E-2</v>
      </c>
      <c r="E63">
        <v>-5.2331177E-2</v>
      </c>
      <c r="F63">
        <v>-3.5504525000000002E-2</v>
      </c>
      <c r="G63">
        <v>-4.6368840000000001E-2</v>
      </c>
      <c r="H63">
        <v>-3.0380243000000001E-2</v>
      </c>
      <c r="I63">
        <v>-3.9575425999999997E-2</v>
      </c>
      <c r="J63">
        <v>-3.8564463E-2</v>
      </c>
      <c r="K63">
        <v>-4.0576634E-2</v>
      </c>
      <c r="L63">
        <f t="shared" si="0"/>
        <v>-5.7978097431535265E-2</v>
      </c>
      <c r="M63">
        <f t="shared" si="1"/>
        <v>-2.2154690854963577E-2</v>
      </c>
      <c r="N63">
        <f t="shared" si="2"/>
        <v>-5.330420695494751E-2</v>
      </c>
      <c r="O63">
        <f t="shared" si="3"/>
        <v>-4.932374171829982E-2</v>
      </c>
      <c r="P63">
        <f t="shared" si="4"/>
        <v>-5.8046277390704962E-2</v>
      </c>
    </row>
    <row r="64" spans="1:16" x14ac:dyDescent="0.25">
      <c r="A64" s="2">
        <v>39903</v>
      </c>
      <c r="B64">
        <v>2.4406595E-2</v>
      </c>
      <c r="C64">
        <v>3.6216524E-2</v>
      </c>
      <c r="D64">
        <v>1.3044211999999999E-2</v>
      </c>
      <c r="E64">
        <v>2.3664745000000001E-2</v>
      </c>
      <c r="F64">
        <v>4.2456630000000002E-2</v>
      </c>
      <c r="G64">
        <v>-1.5484589E-2</v>
      </c>
      <c r="H64">
        <v>6.6929240000000003E-3</v>
      </c>
      <c r="I64">
        <v>3.3905256000000002E-2</v>
      </c>
      <c r="J64">
        <v>7.8342210000000006E-3</v>
      </c>
      <c r="K64">
        <v>3.6216524E-2</v>
      </c>
      <c r="L64">
        <f t="shared" si="0"/>
        <v>2.3813388126130978E-2</v>
      </c>
      <c r="M64">
        <f t="shared" si="1"/>
        <v>1.2504035203584615E-2</v>
      </c>
      <c r="N64">
        <f t="shared" si="2"/>
        <v>2.3667883925861135E-2</v>
      </c>
      <c r="O64">
        <f t="shared" si="3"/>
        <v>2.0784748066022853E-2</v>
      </c>
      <c r="P64">
        <f t="shared" si="4"/>
        <v>2.7447149040149187E-2</v>
      </c>
    </row>
    <row r="65" spans="1:16" x14ac:dyDescent="0.25">
      <c r="A65" s="2">
        <v>39904</v>
      </c>
      <c r="B65">
        <v>6.9134110000000004E-3</v>
      </c>
      <c r="C65">
        <v>1.9586988999999999E-2</v>
      </c>
      <c r="D65">
        <v>1.6421016E-2</v>
      </c>
      <c r="E65">
        <v>1.1273478E-2</v>
      </c>
      <c r="F65">
        <v>7.4857300000000003E-3</v>
      </c>
      <c r="G65">
        <v>2.9450342000000001E-2</v>
      </c>
      <c r="H65">
        <v>2.5332468E-2</v>
      </c>
      <c r="I65">
        <v>1.3131001999999999E-2</v>
      </c>
      <c r="J65">
        <v>1.5339491E-2</v>
      </c>
      <c r="K65">
        <v>1.9586988999999999E-2</v>
      </c>
      <c r="L65">
        <f t="shared" si="0"/>
        <v>2.3463038702029402E-2</v>
      </c>
      <c r="M65">
        <f t="shared" si="1"/>
        <v>1.194158924868215E-2</v>
      </c>
      <c r="N65">
        <f t="shared" si="2"/>
        <v>2.1468384638308097E-2</v>
      </c>
      <c r="O65">
        <f t="shared" si="3"/>
        <v>2.0801402567812773E-2</v>
      </c>
      <c r="P65">
        <f t="shared" si="4"/>
        <v>2.1091546479736954E-2</v>
      </c>
    </row>
    <row r="66" spans="1:16" x14ac:dyDescent="0.25">
      <c r="A66" s="2">
        <v>39905</v>
      </c>
      <c r="B66">
        <v>3.1401767999999997E-2</v>
      </c>
      <c r="C66">
        <v>5.2522394999999999E-2</v>
      </c>
      <c r="D66">
        <v>2.8322241000000001E-2</v>
      </c>
      <c r="E66">
        <v>5.8950531E-2</v>
      </c>
      <c r="F66">
        <v>4.1933722999999999E-2</v>
      </c>
      <c r="G66">
        <v>4.3103753000000002E-2</v>
      </c>
      <c r="H66">
        <v>4.1073535000000001E-2</v>
      </c>
      <c r="I66">
        <v>4.6299865000000003E-2</v>
      </c>
      <c r="J66">
        <v>3.8506193000000001E-2</v>
      </c>
      <c r="K66">
        <v>5.2522394999999999E-2</v>
      </c>
      <c r="L66">
        <f t="shared" si="0"/>
        <v>5.947116657327494E-2</v>
      </c>
      <c r="M66">
        <f t="shared" si="1"/>
        <v>2.8401278891464966E-2</v>
      </c>
      <c r="N66">
        <f t="shared" si="2"/>
        <v>5.8108275591454053E-2</v>
      </c>
      <c r="O66">
        <f t="shared" si="3"/>
        <v>5.4863047511200226E-2</v>
      </c>
      <c r="P66">
        <f t="shared" si="4"/>
        <v>5.9763863505516726E-2</v>
      </c>
    </row>
    <row r="67" spans="1:16" x14ac:dyDescent="0.25">
      <c r="A67" s="2">
        <v>39906</v>
      </c>
      <c r="B67">
        <v>-5.2473579999999997E-3</v>
      </c>
      <c r="C67">
        <v>1.0895897999999999E-2</v>
      </c>
      <c r="D67">
        <v>9.6847280000000001E-3</v>
      </c>
      <c r="E67">
        <v>7.0036100000000004E-4</v>
      </c>
      <c r="F67">
        <v>-2.3374088000000001E-2</v>
      </c>
      <c r="G67">
        <v>3.4414060000000002E-3</v>
      </c>
      <c r="H67">
        <v>1.4865185E-2</v>
      </c>
      <c r="I67">
        <v>-1.3565921999999999E-2</v>
      </c>
      <c r="J67">
        <v>4.3115209999999996E-3</v>
      </c>
      <c r="K67">
        <v>1.0895897999999999E-2</v>
      </c>
      <c r="L67">
        <f t="shared" si="0"/>
        <v>-1.9796095990631929E-3</v>
      </c>
      <c r="M67">
        <f t="shared" si="1"/>
        <v>1.2744255321974877E-3</v>
      </c>
      <c r="N67">
        <f t="shared" si="2"/>
        <v>-3.4111841114590541E-3</v>
      </c>
      <c r="O67">
        <f t="shared" si="3"/>
        <v>-1.9071006486533106E-3</v>
      </c>
      <c r="P67">
        <f t="shared" si="4"/>
        <v>-5.9833378630630481E-3</v>
      </c>
    </row>
    <row r="68" spans="1:16" x14ac:dyDescent="0.25">
      <c r="A68" s="2">
        <v>39909</v>
      </c>
      <c r="B68">
        <v>7.3571200000000002E-4</v>
      </c>
      <c r="C68">
        <v>1.8613487000000001E-2</v>
      </c>
      <c r="D68">
        <v>-8.3672520000000004E-3</v>
      </c>
      <c r="E68">
        <v>-8.0551790000000009E-3</v>
      </c>
      <c r="F68">
        <v>-9.0238920000000004E-3</v>
      </c>
      <c r="G68">
        <v>1.2277689E-2</v>
      </c>
      <c r="H68">
        <v>-5.058842E-3</v>
      </c>
      <c r="I68">
        <v>-6.6393800000000003E-3</v>
      </c>
      <c r="J68">
        <v>4.1919310000000003E-3</v>
      </c>
      <c r="K68">
        <v>1.8613487000000001E-2</v>
      </c>
      <c r="L68">
        <f t="shared" ref="L68:L131" si="13">SUMPRODUCT(D68:J68,$R$8:$X$8)+$Y$8</f>
        <v>3.8992732278794692E-3</v>
      </c>
      <c r="M68">
        <f t="shared" ref="M68:M131" si="14">SUMPRODUCT(D68:J68,$R$16:$X$16)+$Y$16</f>
        <v>3.6014293782534335E-4</v>
      </c>
      <c r="N68">
        <f t="shared" ref="N68:N131" si="15">SUMPRODUCT(D68:J68,$R$24:$X$24)+$Y$24</f>
        <v>2.0956247436147929E-3</v>
      </c>
      <c r="O68">
        <f t="shared" ref="O68:O131" si="16">SUMPRODUCT(D68:J68,$R$32:$X$32)+$Y$32</f>
        <v>3.6856889402131065E-4</v>
      </c>
      <c r="P68">
        <f t="shared" ref="P68:P131" si="17">SUMPRODUCT(D68:J68,$R$40:$X$40)+$Y$40</f>
        <v>2.7026089006504835E-3</v>
      </c>
    </row>
    <row r="69" spans="1:16" x14ac:dyDescent="0.25">
      <c r="A69" s="2">
        <v>39910</v>
      </c>
      <c r="B69">
        <v>-1.0297613000000001E-2</v>
      </c>
      <c r="C69">
        <v>-3.5028186000000003E-2</v>
      </c>
      <c r="D69">
        <v>-2.4143677999999998E-2</v>
      </c>
      <c r="E69">
        <v>-6.298227E-3</v>
      </c>
      <c r="F69">
        <v>-1.5901394999999999E-2</v>
      </c>
      <c r="G69">
        <v>-2.835377E-3</v>
      </c>
      <c r="H69">
        <v>-7.7734730000000004E-3</v>
      </c>
      <c r="I69">
        <v>-1.0973461E-2</v>
      </c>
      <c r="J69">
        <v>-5.5658620000000004E-3</v>
      </c>
      <c r="K69">
        <v>-3.5028186000000003E-2</v>
      </c>
      <c r="L69">
        <f t="shared" si="13"/>
        <v>-1.0469275135963772E-2</v>
      </c>
      <c r="M69">
        <f t="shared" si="14"/>
        <v>-3.8422414414341194E-3</v>
      </c>
      <c r="N69">
        <f t="shared" si="15"/>
        <v>-9.0728656748389758E-3</v>
      </c>
      <c r="O69">
        <f t="shared" si="16"/>
        <v>-9.1165256093329629E-3</v>
      </c>
      <c r="P69">
        <f t="shared" si="17"/>
        <v>-1.2311044758750707E-2</v>
      </c>
    </row>
    <row r="70" spans="1:16" x14ac:dyDescent="0.25">
      <c r="A70" s="2">
        <v>39911</v>
      </c>
      <c r="B70">
        <v>4.7238892999999997E-2</v>
      </c>
      <c r="C70">
        <v>4.6046123000000001E-2</v>
      </c>
      <c r="D70">
        <v>1.1714575E-2</v>
      </c>
      <c r="E70">
        <v>8.1609409999999997E-3</v>
      </c>
      <c r="F70">
        <v>-1.2729130000000001E-3</v>
      </c>
      <c r="G70">
        <v>-2.7295923999999999E-2</v>
      </c>
      <c r="H70">
        <v>8.1130360000000006E-3</v>
      </c>
      <c r="I70">
        <v>4.5762399999999996E-3</v>
      </c>
      <c r="J70">
        <v>-7.5010839999999999E-3</v>
      </c>
      <c r="K70">
        <v>4.6046123000000001E-2</v>
      </c>
      <c r="L70">
        <f t="shared" si="13"/>
        <v>-3.5597592983371193E-3</v>
      </c>
      <c r="M70">
        <f t="shared" si="14"/>
        <v>1.8254170862598029E-3</v>
      </c>
      <c r="N70">
        <f t="shared" si="15"/>
        <v>-5.1911735165862836E-3</v>
      </c>
      <c r="O70">
        <f t="shared" si="16"/>
        <v>-3.457260687788657E-3</v>
      </c>
      <c r="P70">
        <f t="shared" si="17"/>
        <v>-6.5641469030799805E-3</v>
      </c>
    </row>
    <row r="71" spans="1:16" x14ac:dyDescent="0.25">
      <c r="A71" s="2">
        <v>39912</v>
      </c>
      <c r="B71">
        <v>3.1777739999999999E-2</v>
      </c>
      <c r="C71">
        <v>5.1557510000000001E-2</v>
      </c>
      <c r="D71">
        <v>3.7347061000000001E-2</v>
      </c>
      <c r="E71">
        <v>3.0107235E-2</v>
      </c>
      <c r="F71">
        <v>1.4717304E-2</v>
      </c>
      <c r="G71">
        <v>3.6672343000000003E-2</v>
      </c>
      <c r="H71">
        <v>3.0251634999999999E-2</v>
      </c>
      <c r="I71">
        <v>2.0350246999999998E-2</v>
      </c>
      <c r="J71">
        <v>2.7695854999999998E-2</v>
      </c>
      <c r="K71">
        <v>5.1557510000000001E-2</v>
      </c>
      <c r="L71">
        <f t="shared" si="13"/>
        <v>4.0165137350188299E-2</v>
      </c>
      <c r="M71">
        <f t="shared" si="14"/>
        <v>1.8759291851915327E-2</v>
      </c>
      <c r="N71">
        <f t="shared" si="15"/>
        <v>3.5648224740838126E-2</v>
      </c>
      <c r="O71">
        <f t="shared" si="16"/>
        <v>3.4636543839622676E-2</v>
      </c>
      <c r="P71">
        <f t="shared" si="17"/>
        <v>3.856717726606828E-2</v>
      </c>
    </row>
    <row r="72" spans="1:16" x14ac:dyDescent="0.25">
      <c r="A72" s="2">
        <v>39913</v>
      </c>
      <c r="B72">
        <v>1.0170736E-2</v>
      </c>
      <c r="C72">
        <v>1.4648571000000001E-2</v>
      </c>
      <c r="D72">
        <v>2.5301859999999998E-3</v>
      </c>
      <c r="E72">
        <v>0</v>
      </c>
      <c r="F72">
        <v>1.329537E-3</v>
      </c>
      <c r="G72">
        <v>5.3746820000000004E-3</v>
      </c>
      <c r="H72">
        <v>9.8983669999999999E-3</v>
      </c>
      <c r="I72">
        <v>0</v>
      </c>
      <c r="J72">
        <v>5.3859959999999997E-3</v>
      </c>
      <c r="K72">
        <v>1.4648571000000001E-2</v>
      </c>
      <c r="L72">
        <f t="shared" si="13"/>
        <v>3.5742410751559602E-3</v>
      </c>
      <c r="M72">
        <f t="shared" si="14"/>
        <v>4.0847700342010775E-3</v>
      </c>
      <c r="N72">
        <f t="shared" si="15"/>
        <v>5.0896664533951466E-3</v>
      </c>
      <c r="O72">
        <f t="shared" si="16"/>
        <v>4.9554105217248469E-3</v>
      </c>
      <c r="P72">
        <f t="shared" si="17"/>
        <v>4.2918994629182576E-3</v>
      </c>
    </row>
    <row r="73" spans="1:16" x14ac:dyDescent="0.25">
      <c r="A73" s="2">
        <v>39916</v>
      </c>
      <c r="B73">
        <v>-1.3661316E-2</v>
      </c>
      <c r="C73">
        <v>-1.8458136E-2</v>
      </c>
      <c r="D73">
        <v>0</v>
      </c>
      <c r="E73">
        <v>0</v>
      </c>
      <c r="F73">
        <v>0</v>
      </c>
      <c r="G73">
        <v>-4.4363670000000001E-3</v>
      </c>
      <c r="H73">
        <v>0</v>
      </c>
      <c r="I73">
        <v>0</v>
      </c>
      <c r="J73">
        <v>5.8796359999999997E-3</v>
      </c>
      <c r="K73">
        <v>-1.8458136E-2</v>
      </c>
      <c r="L73">
        <f t="shared" si="13"/>
        <v>6.5758476440678261E-3</v>
      </c>
      <c r="M73">
        <f t="shared" si="14"/>
        <v>2.3973046756563888E-3</v>
      </c>
      <c r="N73">
        <f t="shared" si="15"/>
        <v>5.0578281186319249E-3</v>
      </c>
      <c r="O73">
        <f t="shared" si="16"/>
        <v>2.6394442050419169E-3</v>
      </c>
      <c r="P73">
        <f t="shared" si="17"/>
        <v>6.4171364090292553E-3</v>
      </c>
    </row>
    <row r="74" spans="1:16" x14ac:dyDescent="0.25">
      <c r="A74" s="2">
        <v>39917</v>
      </c>
      <c r="B74">
        <v>-1.0111415E-2</v>
      </c>
      <c r="C74">
        <v>-9.2198120000000008E-3</v>
      </c>
      <c r="D74">
        <v>-2.0268540000000002E-2</v>
      </c>
      <c r="E74">
        <v>1.4564593000000001E-2</v>
      </c>
      <c r="F74">
        <v>0</v>
      </c>
      <c r="G74">
        <v>-9.2024619999999998E-3</v>
      </c>
      <c r="H74">
        <v>-1.2558966E-2</v>
      </c>
      <c r="I74">
        <v>1.0410568E-2</v>
      </c>
      <c r="J74">
        <v>7.414113E-3</v>
      </c>
      <c r="K74">
        <v>-9.2198120000000008E-3</v>
      </c>
      <c r="L74">
        <f t="shared" si="13"/>
        <v>1.8247141102938253E-2</v>
      </c>
      <c r="M74">
        <f t="shared" si="14"/>
        <v>2.5210564737510096E-3</v>
      </c>
      <c r="N74">
        <f t="shared" si="15"/>
        <v>1.2220322146436476E-2</v>
      </c>
      <c r="O74">
        <f t="shared" si="16"/>
        <v>5.8203215204304087E-3</v>
      </c>
      <c r="P74">
        <f t="shared" si="17"/>
        <v>1.3846756419767648E-2</v>
      </c>
    </row>
    <row r="75" spans="1:16" x14ac:dyDescent="0.25">
      <c r="A75" s="2">
        <v>39918</v>
      </c>
      <c r="B75">
        <v>5.7888000000000002E-3</v>
      </c>
      <c r="C75">
        <v>-7.2719220000000001E-3</v>
      </c>
      <c r="D75">
        <v>1.2470933E-2</v>
      </c>
      <c r="E75">
        <v>-1.5856290000000001E-3</v>
      </c>
      <c r="F75">
        <v>-5.177582E-3</v>
      </c>
      <c r="G75">
        <v>-1.1341192999999999E-2</v>
      </c>
      <c r="H75">
        <v>-3.1976740000000002E-3</v>
      </c>
      <c r="I75">
        <v>-5.6920599999999997E-3</v>
      </c>
      <c r="J75">
        <v>2.7112799999999999E-3</v>
      </c>
      <c r="K75">
        <v>-7.2719220000000001E-3</v>
      </c>
      <c r="L75">
        <f t="shared" si="13"/>
        <v>2.096016722308794E-3</v>
      </c>
      <c r="M75">
        <f t="shared" si="14"/>
        <v>9.7544414166190379E-4</v>
      </c>
      <c r="N75">
        <f t="shared" si="15"/>
        <v>-7.8078664669252148E-4</v>
      </c>
      <c r="O75">
        <f t="shared" si="16"/>
        <v>-1.4407388633032091E-3</v>
      </c>
      <c r="P75">
        <f t="shared" si="17"/>
        <v>1.9943452402050965E-3</v>
      </c>
    </row>
    <row r="76" spans="1:16" x14ac:dyDescent="0.25">
      <c r="A76" s="2">
        <v>39919</v>
      </c>
      <c r="B76">
        <v>4.1454960999999999E-2</v>
      </c>
      <c r="C76">
        <v>3.7113921000000001E-2</v>
      </c>
      <c r="D76">
        <v>1.5419321E-2</v>
      </c>
      <c r="E76">
        <v>1.3029634999999999E-2</v>
      </c>
      <c r="F76">
        <v>2.1094357000000001E-2</v>
      </c>
      <c r="G76">
        <v>1.4058580000000001E-3</v>
      </c>
      <c r="H76">
        <v>1.6473899E-2</v>
      </c>
      <c r="I76">
        <v>1.9679181E-2</v>
      </c>
      <c r="J76">
        <v>2.4386899999999999E-3</v>
      </c>
      <c r="K76">
        <v>3.7113921000000001E-2</v>
      </c>
      <c r="L76">
        <f t="shared" si="13"/>
        <v>1.2369196431642044E-2</v>
      </c>
      <c r="M76">
        <f t="shared" si="14"/>
        <v>9.7842255576821874E-3</v>
      </c>
      <c r="N76">
        <f t="shared" si="15"/>
        <v>1.2950504237902321E-2</v>
      </c>
      <c r="O76">
        <f t="shared" si="16"/>
        <v>1.4097663518027683E-2</v>
      </c>
      <c r="P76">
        <f t="shared" si="17"/>
        <v>1.2826168983033725E-2</v>
      </c>
    </row>
    <row r="77" spans="1:16" x14ac:dyDescent="0.25">
      <c r="A77" s="2">
        <v>39920</v>
      </c>
      <c r="B77">
        <v>-2.617982E-3</v>
      </c>
      <c r="C77">
        <v>-6.4408859999999998E-3</v>
      </c>
      <c r="D77">
        <v>4.9570680000000002E-3</v>
      </c>
      <c r="E77">
        <v>1.4511955E-2</v>
      </c>
      <c r="F77">
        <v>9.7719850000000004E-3</v>
      </c>
      <c r="G77">
        <v>1.7247937000000001E-2</v>
      </c>
      <c r="H77">
        <v>-5.3811010000000001E-3</v>
      </c>
      <c r="I77">
        <v>1.5000818000000001E-2</v>
      </c>
      <c r="J77">
        <v>-5.525922E-3</v>
      </c>
      <c r="K77">
        <v>-6.4408859999999998E-3</v>
      </c>
      <c r="L77">
        <f t="shared" si="13"/>
        <v>1.0176363768186971E-2</v>
      </c>
      <c r="M77">
        <f t="shared" si="14"/>
        <v>6.7498742461216815E-3</v>
      </c>
      <c r="N77">
        <f t="shared" si="15"/>
        <v>7.5585909711528027E-3</v>
      </c>
      <c r="O77">
        <f t="shared" si="16"/>
        <v>1.0968283221610768E-2</v>
      </c>
      <c r="P77">
        <f t="shared" si="17"/>
        <v>8.1405374018335488E-3</v>
      </c>
    </row>
    <row r="78" spans="1:16" x14ac:dyDescent="0.25">
      <c r="A78" s="2">
        <v>39923</v>
      </c>
      <c r="B78">
        <v>-3.0954776E-2</v>
      </c>
      <c r="C78">
        <v>-4.3561684000000003E-2</v>
      </c>
      <c r="D78">
        <v>-4.3732254999999998E-2</v>
      </c>
      <c r="E78">
        <v>-4.1594359999999997E-2</v>
      </c>
      <c r="F78">
        <v>-2.5212563E-2</v>
      </c>
      <c r="G78">
        <v>1.9257160000000001E-3</v>
      </c>
      <c r="H78">
        <v>-2.9821190000000001E-2</v>
      </c>
      <c r="I78">
        <v>-3.3145055E-2</v>
      </c>
      <c r="J78">
        <v>-8.3578479999999993E-3</v>
      </c>
      <c r="K78">
        <v>-4.3561684000000003E-2</v>
      </c>
      <c r="L78">
        <f t="shared" si="13"/>
        <v>-2.6027395645213204E-2</v>
      </c>
      <c r="M78">
        <f t="shared" si="14"/>
        <v>-1.3261639397513802E-2</v>
      </c>
      <c r="N78">
        <f t="shared" si="15"/>
        <v>-2.2002547492916864E-2</v>
      </c>
      <c r="O78">
        <f t="shared" si="16"/>
        <v>-2.4125392153649616E-2</v>
      </c>
      <c r="P78">
        <f t="shared" si="17"/>
        <v>-2.2983937876847989E-2</v>
      </c>
    </row>
    <row r="79" spans="1:16" x14ac:dyDescent="0.25">
      <c r="A79" s="2">
        <v>39924</v>
      </c>
      <c r="B79">
        <v>4.5482109999999999E-3</v>
      </c>
      <c r="C79">
        <v>-1.3976351E-2</v>
      </c>
      <c r="D79">
        <v>2.1029381999999999E-2</v>
      </c>
      <c r="E79">
        <v>3.4112449999999998E-3</v>
      </c>
      <c r="F79">
        <v>-8.5230099999999997E-4</v>
      </c>
      <c r="G79">
        <v>-2.4203839000000001E-2</v>
      </c>
      <c r="H79">
        <v>1.0188061999999999E-2</v>
      </c>
      <c r="I79">
        <v>1.07111E-4</v>
      </c>
      <c r="J79">
        <v>-7.2765740000000001E-3</v>
      </c>
      <c r="K79">
        <v>-1.3976351E-2</v>
      </c>
      <c r="L79">
        <f t="shared" si="13"/>
        <v>-6.9904774765367911E-3</v>
      </c>
      <c r="M79">
        <f t="shared" si="14"/>
        <v>1.9449318788219959E-3</v>
      </c>
      <c r="N79">
        <f t="shared" si="15"/>
        <v>-7.2309629353471605E-3</v>
      </c>
      <c r="O79">
        <f t="shared" si="16"/>
        <v>-3.9405287067723338E-3</v>
      </c>
      <c r="P79">
        <f t="shared" si="17"/>
        <v>-7.8788078504491883E-3</v>
      </c>
    </row>
    <row r="80" spans="1:16" x14ac:dyDescent="0.25">
      <c r="A80" s="2">
        <v>39925</v>
      </c>
      <c r="B80">
        <v>9.6559460000000003E-3</v>
      </c>
      <c r="C80">
        <v>1.7986713000000001E-2</v>
      </c>
      <c r="D80">
        <v>-7.7112860000000004E-3</v>
      </c>
      <c r="E80">
        <v>2.0402969999999999E-2</v>
      </c>
      <c r="F80">
        <v>1.077559E-2</v>
      </c>
      <c r="G80">
        <v>1.831566E-3</v>
      </c>
      <c r="H80">
        <v>0</v>
      </c>
      <c r="I80">
        <v>1.4246564999999999E-2</v>
      </c>
      <c r="J80">
        <v>-9.6667200000000002E-4</v>
      </c>
      <c r="K80">
        <v>1.7986713000000001E-2</v>
      </c>
      <c r="L80">
        <f t="shared" si="13"/>
        <v>7.5809868852476075E-3</v>
      </c>
      <c r="M80">
        <f t="shared" si="14"/>
        <v>6.1694189509700226E-3</v>
      </c>
      <c r="N80">
        <f t="shared" si="15"/>
        <v>8.5754713292698105E-3</v>
      </c>
      <c r="O80">
        <f t="shared" si="16"/>
        <v>9.678967106820105E-3</v>
      </c>
      <c r="P80">
        <f t="shared" si="17"/>
        <v>7.0058427194046487E-3</v>
      </c>
    </row>
    <row r="81" spans="1:16" x14ac:dyDescent="0.25">
      <c r="A81" s="2">
        <v>39927</v>
      </c>
      <c r="B81">
        <v>2.4517036999999998E-2</v>
      </c>
      <c r="C81">
        <v>4.1463715999999998E-2</v>
      </c>
      <c r="D81">
        <v>2.6531285000000002E-2</v>
      </c>
      <c r="E81">
        <v>1.7241174000000001E-2</v>
      </c>
      <c r="F81">
        <v>3.0613015E-2</v>
      </c>
      <c r="G81">
        <v>-2.2150490000000002E-3</v>
      </c>
      <c r="H81">
        <v>4.1114234999999999E-2</v>
      </c>
      <c r="I81">
        <v>1.9732664E-2</v>
      </c>
      <c r="J81">
        <v>2.2915147E-2</v>
      </c>
      <c r="K81">
        <v>4.1463715999999998E-2</v>
      </c>
      <c r="L81">
        <f t="shared" si="13"/>
        <v>2.1330158050140838E-2</v>
      </c>
      <c r="M81">
        <f t="shared" si="14"/>
        <v>1.523883864103143E-2</v>
      </c>
      <c r="N81">
        <f t="shared" si="15"/>
        <v>2.6487536133167535E-2</v>
      </c>
      <c r="O81">
        <f t="shared" si="16"/>
        <v>2.402732001075646E-2</v>
      </c>
      <c r="P81">
        <f t="shared" si="17"/>
        <v>2.6521510147493311E-2</v>
      </c>
    </row>
    <row r="82" spans="1:16" x14ac:dyDescent="0.25">
      <c r="A82" s="2">
        <v>39930</v>
      </c>
      <c r="B82">
        <v>-4.162916E-3</v>
      </c>
      <c r="C82">
        <v>-7.7655399999999996E-3</v>
      </c>
      <c r="D82">
        <v>-1.0117621E-2</v>
      </c>
      <c r="E82">
        <v>4.2163119999999998E-3</v>
      </c>
      <c r="F82">
        <v>2.6432790000000001E-3</v>
      </c>
      <c r="G82">
        <v>2.105043E-3</v>
      </c>
      <c r="H82">
        <v>-2.0564056000000001E-2</v>
      </c>
      <c r="I82">
        <v>1.193826E-3</v>
      </c>
      <c r="J82">
        <v>-1.8736719999999998E-2</v>
      </c>
      <c r="K82">
        <v>-7.7655399999999996E-3</v>
      </c>
      <c r="L82">
        <f t="shared" si="13"/>
        <v>-1.3039337622535131E-2</v>
      </c>
      <c r="M82">
        <f t="shared" si="14"/>
        <v>-8.3859893820725437E-4</v>
      </c>
      <c r="N82">
        <f t="shared" si="15"/>
        <v>-1.0681374627441523E-2</v>
      </c>
      <c r="O82">
        <f t="shared" si="16"/>
        <v>-4.4312464021555205E-3</v>
      </c>
      <c r="P82">
        <f t="shared" si="17"/>
        <v>-1.1786184793363746E-2</v>
      </c>
    </row>
    <row r="83" spans="1:16" x14ac:dyDescent="0.25">
      <c r="A83" s="2">
        <v>39931</v>
      </c>
      <c r="B83">
        <v>-1.2367952999999999E-2</v>
      </c>
      <c r="C83">
        <v>-2.1244474999999999E-2</v>
      </c>
      <c r="D83">
        <v>-2.7442550000000001E-3</v>
      </c>
      <c r="E83">
        <v>-1.8631963000000001E-2</v>
      </c>
      <c r="F83">
        <v>-1.7087813E-2</v>
      </c>
      <c r="G83">
        <v>-2.7013084E-2</v>
      </c>
      <c r="H83" s="1">
        <v>2.18243E-5</v>
      </c>
      <c r="I83">
        <v>-1.6191972999999998E-2</v>
      </c>
      <c r="J83">
        <v>-1.3223983999999999E-2</v>
      </c>
      <c r="K83">
        <v>-2.1244474999999999E-2</v>
      </c>
      <c r="L83">
        <f t="shared" si="13"/>
        <v>-2.1978183316827965E-2</v>
      </c>
      <c r="M83">
        <f t="shared" si="14"/>
        <v>-6.4465353212343965E-3</v>
      </c>
      <c r="N83">
        <f t="shared" si="15"/>
        <v>-2.0738868608164547E-2</v>
      </c>
      <c r="O83">
        <f t="shared" si="16"/>
        <v>-1.8898858040173667E-2</v>
      </c>
      <c r="P83">
        <f t="shared" si="17"/>
        <v>-2.3327973588120231E-2</v>
      </c>
    </row>
    <row r="84" spans="1:16" x14ac:dyDescent="0.25">
      <c r="A84" s="2">
        <v>39932</v>
      </c>
      <c r="B84">
        <v>5.1980320000000003E-2</v>
      </c>
      <c r="C84">
        <v>7.3005405999999995E-2</v>
      </c>
      <c r="D84">
        <v>2.1379806000000001E-2</v>
      </c>
      <c r="E84">
        <v>2.0864204000000001E-2</v>
      </c>
      <c r="F84">
        <v>2.2496724999999999E-2</v>
      </c>
      <c r="G84">
        <v>3.8624986E-2</v>
      </c>
      <c r="H84">
        <v>3.0223262000000001E-2</v>
      </c>
      <c r="I84">
        <v>2.1224455999999999E-2</v>
      </c>
      <c r="J84">
        <v>2.5812429000000001E-2</v>
      </c>
      <c r="K84">
        <v>7.3005405999999995E-2</v>
      </c>
      <c r="L84">
        <f t="shared" si="13"/>
        <v>3.4419558716203724E-2</v>
      </c>
      <c r="M84">
        <f t="shared" si="14"/>
        <v>1.7449491736292285E-2</v>
      </c>
      <c r="N84">
        <f t="shared" si="15"/>
        <v>3.4545065942253074E-2</v>
      </c>
      <c r="O84">
        <f t="shared" si="16"/>
        <v>3.2773561426252047E-2</v>
      </c>
      <c r="P84">
        <f t="shared" si="17"/>
        <v>3.5772395623530753E-2</v>
      </c>
    </row>
    <row r="85" spans="1:16" x14ac:dyDescent="0.25">
      <c r="A85" s="2">
        <v>39933</v>
      </c>
      <c r="B85">
        <v>2.9022745999999999E-2</v>
      </c>
      <c r="C85">
        <v>4.0498014999999998E-2</v>
      </c>
      <c r="D85">
        <v>-9.5049999999999996E-4</v>
      </c>
      <c r="E85">
        <v>1.3698742999999999E-2</v>
      </c>
      <c r="F85">
        <v>1.2830266E-2</v>
      </c>
      <c r="G85">
        <v>0</v>
      </c>
      <c r="H85">
        <v>1.3330939999999999E-3</v>
      </c>
      <c r="I85">
        <v>1.3364378E-2</v>
      </c>
      <c r="J85">
        <v>1.6444765E-2</v>
      </c>
      <c r="K85">
        <v>4.0498014999999998E-2</v>
      </c>
      <c r="L85">
        <f t="shared" si="13"/>
        <v>2.4090767585648785E-2</v>
      </c>
      <c r="M85">
        <f t="shared" si="14"/>
        <v>7.670002097706451E-3</v>
      </c>
      <c r="N85">
        <f t="shared" si="15"/>
        <v>2.0785419986232231E-2</v>
      </c>
      <c r="O85">
        <f t="shared" si="16"/>
        <v>1.492198481887962E-2</v>
      </c>
      <c r="P85">
        <f t="shared" si="17"/>
        <v>2.4050901497884827E-2</v>
      </c>
    </row>
    <row r="86" spans="1:16" x14ac:dyDescent="0.25">
      <c r="A86" s="2">
        <v>39937</v>
      </c>
      <c r="B86">
        <v>1.6261075999999999E-2</v>
      </c>
      <c r="C86">
        <v>1.5619342E-2</v>
      </c>
      <c r="D86">
        <v>3.8689132000000001E-2</v>
      </c>
      <c r="E86">
        <v>2.7504086000000001E-2</v>
      </c>
      <c r="F86">
        <v>2.1724277E-2</v>
      </c>
      <c r="G86">
        <v>6.1229314999999999E-2</v>
      </c>
      <c r="H86">
        <v>6.3791520000000004E-2</v>
      </c>
      <c r="I86">
        <v>1.5641377000000001E-2</v>
      </c>
      <c r="J86">
        <v>4.7804530999999997E-2</v>
      </c>
      <c r="K86">
        <v>1.5619342E-2</v>
      </c>
      <c r="L86">
        <f t="shared" si="13"/>
        <v>4.2951905290204269E-2</v>
      </c>
      <c r="M86">
        <f t="shared" si="14"/>
        <v>2.4954575663544601E-2</v>
      </c>
      <c r="N86">
        <f t="shared" si="15"/>
        <v>4.8505923794629799E-2</v>
      </c>
      <c r="O86">
        <f t="shared" si="16"/>
        <v>4.6790732348786786E-2</v>
      </c>
      <c r="P86">
        <f t="shared" si="17"/>
        <v>4.7688049161680297E-2</v>
      </c>
    </row>
    <row r="87" spans="1:16" x14ac:dyDescent="0.25">
      <c r="A87" s="2">
        <v>39938</v>
      </c>
      <c r="B87">
        <v>2.5882268999999999E-2</v>
      </c>
      <c r="C87">
        <v>4.2492156000000003E-2</v>
      </c>
      <c r="D87">
        <v>-3.7989270000000001E-3</v>
      </c>
      <c r="E87">
        <v>-1.0131828000000001E-2</v>
      </c>
      <c r="F87">
        <v>0</v>
      </c>
      <c r="G87">
        <v>0</v>
      </c>
      <c r="H87">
        <v>5.2436430000000001E-3</v>
      </c>
      <c r="I87">
        <v>4.7223860000000003E-3</v>
      </c>
      <c r="J87">
        <v>4.0358260000000002E-3</v>
      </c>
      <c r="K87">
        <v>4.2492156000000003E-2</v>
      </c>
      <c r="L87">
        <f t="shared" si="13"/>
        <v>1.0044701430031206E-2</v>
      </c>
      <c r="M87">
        <f t="shared" si="14"/>
        <v>2.0726132566656896E-3</v>
      </c>
      <c r="N87">
        <f t="shared" si="15"/>
        <v>6.0536711109051254E-3</v>
      </c>
      <c r="O87">
        <f t="shared" si="16"/>
        <v>1.8797260099937365E-3</v>
      </c>
      <c r="P87">
        <f t="shared" si="17"/>
        <v>6.6338362722131606E-3</v>
      </c>
    </row>
    <row r="88" spans="1:16" x14ac:dyDescent="0.25">
      <c r="A88" s="2">
        <v>39939</v>
      </c>
      <c r="B88">
        <v>2.1061107999999999E-2</v>
      </c>
      <c r="C88">
        <v>1.5539992000000001E-2</v>
      </c>
      <c r="D88">
        <v>1.7254572999999999E-2</v>
      </c>
      <c r="E88">
        <v>5.6874489999999998E-3</v>
      </c>
      <c r="F88">
        <v>1.3648963E-2</v>
      </c>
      <c r="G88">
        <v>0</v>
      </c>
      <c r="H88">
        <v>1.6228370999999998E-2</v>
      </c>
      <c r="I88">
        <v>1.2728662E-2</v>
      </c>
      <c r="J88">
        <v>1.1737376000000001E-2</v>
      </c>
      <c r="K88">
        <v>1.5539992000000001E-2</v>
      </c>
      <c r="L88">
        <f t="shared" si="13"/>
        <v>1.8207741265996308E-2</v>
      </c>
      <c r="M88">
        <f t="shared" si="14"/>
        <v>8.605927925747733E-3</v>
      </c>
      <c r="N88">
        <f t="shared" si="15"/>
        <v>1.5927993928609614E-2</v>
      </c>
      <c r="O88">
        <f t="shared" si="16"/>
        <v>1.3184599588993123E-2</v>
      </c>
      <c r="P88">
        <f t="shared" si="17"/>
        <v>1.802138036521924E-2</v>
      </c>
    </row>
    <row r="89" spans="1:16" x14ac:dyDescent="0.25">
      <c r="A89" s="2">
        <v>39940</v>
      </c>
      <c r="B89">
        <v>-2.6273030999999999E-2</v>
      </c>
      <c r="C89">
        <v>-1.169267E-2</v>
      </c>
      <c r="D89">
        <v>-1.3290323E-2</v>
      </c>
      <c r="E89">
        <v>-1.5820981000000001E-2</v>
      </c>
      <c r="F89">
        <v>5.0027299999999997E-4</v>
      </c>
      <c r="G89">
        <v>0</v>
      </c>
      <c r="H89">
        <v>-2.8380057E-2</v>
      </c>
      <c r="I89">
        <v>-5.2341159999999996E-3</v>
      </c>
      <c r="J89">
        <v>-2.4674100000000002E-3</v>
      </c>
      <c r="K89">
        <v>-1.169267E-2</v>
      </c>
      <c r="L89">
        <f t="shared" si="13"/>
        <v>8.9105067173652274E-4</v>
      </c>
      <c r="M89">
        <f t="shared" si="14"/>
        <v>-3.0714842261677735E-3</v>
      </c>
      <c r="N89">
        <f t="shared" si="15"/>
        <v>-2.1005475495600653E-3</v>
      </c>
      <c r="O89">
        <f t="shared" si="16"/>
        <v>-4.9300074394528796E-3</v>
      </c>
      <c r="P89">
        <f t="shared" si="17"/>
        <v>2.6440597760015129E-3</v>
      </c>
    </row>
    <row r="90" spans="1:16" x14ac:dyDescent="0.25">
      <c r="A90" s="2">
        <v>39941</v>
      </c>
      <c r="B90">
        <v>-1.123867E-3</v>
      </c>
      <c r="C90">
        <v>-5.9182519999999997E-3</v>
      </c>
      <c r="D90">
        <v>2.378394E-2</v>
      </c>
      <c r="E90">
        <v>2.2598204E-2</v>
      </c>
      <c r="F90">
        <v>1.4310465E-2</v>
      </c>
      <c r="G90">
        <v>5.0089030000000003E-3</v>
      </c>
      <c r="H90">
        <v>2.6378015000000001E-2</v>
      </c>
      <c r="I90">
        <v>1.6838852000000001E-2</v>
      </c>
      <c r="J90">
        <v>1.0330862999999999E-2</v>
      </c>
      <c r="K90">
        <v>-5.9182519999999997E-3</v>
      </c>
      <c r="L90">
        <f t="shared" si="13"/>
        <v>1.7237169009517481E-2</v>
      </c>
      <c r="M90">
        <f t="shared" si="14"/>
        <v>1.2235901477999779E-2</v>
      </c>
      <c r="N90">
        <f t="shared" si="15"/>
        <v>1.7360313933141511E-2</v>
      </c>
      <c r="O90">
        <f t="shared" si="16"/>
        <v>1.8558084343262442E-2</v>
      </c>
      <c r="P90">
        <f t="shared" si="17"/>
        <v>1.6652959772288832E-2</v>
      </c>
    </row>
    <row r="91" spans="1:16" x14ac:dyDescent="0.25">
      <c r="A91" s="2">
        <v>39944</v>
      </c>
      <c r="B91">
        <v>-1.8541411000000001E-2</v>
      </c>
      <c r="C91">
        <v>-1.8413175E-2</v>
      </c>
      <c r="D91">
        <v>-2.1747200000000001E-2</v>
      </c>
      <c r="E91">
        <v>-9.6086850000000005E-3</v>
      </c>
      <c r="F91">
        <v>-5.979158E-3</v>
      </c>
      <c r="G91">
        <v>2.0280860000000001E-3</v>
      </c>
      <c r="H91">
        <v>-8.2054150000000006E-3</v>
      </c>
      <c r="I91">
        <v>-1.1834648E-2</v>
      </c>
      <c r="J91">
        <v>-5.5793550000000003E-3</v>
      </c>
      <c r="K91">
        <v>-1.8413175E-2</v>
      </c>
      <c r="L91">
        <f t="shared" si="13"/>
        <v>-1.5026938452384632E-2</v>
      </c>
      <c r="M91">
        <f t="shared" si="14"/>
        <v>-2.9200129114617759E-3</v>
      </c>
      <c r="N91">
        <f t="shared" si="15"/>
        <v>-9.0465022972941907E-3</v>
      </c>
      <c r="O91">
        <f t="shared" si="16"/>
        <v>-7.3594381880204311E-3</v>
      </c>
      <c r="P91">
        <f t="shared" si="17"/>
        <v>-1.1784887586319721E-2</v>
      </c>
    </row>
    <row r="92" spans="1:16" x14ac:dyDescent="0.25">
      <c r="A92" s="2">
        <v>39945</v>
      </c>
      <c r="B92">
        <v>2.5756738000000001E-2</v>
      </c>
      <c r="C92">
        <v>2.0467941999999999E-2</v>
      </c>
      <c r="D92">
        <v>-9.7931899999999998E-4</v>
      </c>
      <c r="E92">
        <v>-2.6334700000000002E-3</v>
      </c>
      <c r="F92">
        <v>-2.257083E-3</v>
      </c>
      <c r="G92">
        <v>-1.6359317000000002E-2</v>
      </c>
      <c r="H92">
        <v>-1.2833092000000001E-2</v>
      </c>
      <c r="I92">
        <v>-4.1182040000000003E-3</v>
      </c>
      <c r="J92">
        <v>-2.2450180000000001E-3</v>
      </c>
      <c r="K92">
        <v>2.0467941999999999E-2</v>
      </c>
      <c r="L92">
        <f t="shared" si="13"/>
        <v>-1.8515148268294116E-3</v>
      </c>
      <c r="M92">
        <f t="shared" si="14"/>
        <v>-1.1702700551813635E-3</v>
      </c>
      <c r="N92">
        <f t="shared" si="15"/>
        <v>-3.6992629648008079E-3</v>
      </c>
      <c r="O92">
        <f t="shared" si="16"/>
        <v>-4.7515897797326297E-3</v>
      </c>
      <c r="P92">
        <f t="shared" si="17"/>
        <v>-1.3038901060964721E-3</v>
      </c>
    </row>
    <row r="93" spans="1:16" x14ac:dyDescent="0.25">
      <c r="A93" s="2">
        <v>39946</v>
      </c>
      <c r="B93">
        <v>-6.5089919999999999E-3</v>
      </c>
      <c r="C93">
        <v>-7.0332299999999995E-4</v>
      </c>
      <c r="D93">
        <v>-2.7263206000000002E-2</v>
      </c>
      <c r="E93">
        <v>-2.6405979E-2</v>
      </c>
      <c r="F93">
        <v>-2.1492450999999999E-2</v>
      </c>
      <c r="G93">
        <v>4.493787E-3</v>
      </c>
      <c r="H93">
        <v>-3.3274116999999999E-2</v>
      </c>
      <c r="I93">
        <v>-2.4442950000000001E-2</v>
      </c>
      <c r="J93">
        <v>-1.0673606E-2</v>
      </c>
      <c r="K93">
        <v>-7.0332299999999995E-4</v>
      </c>
      <c r="L93">
        <f t="shared" si="13"/>
        <v>-1.8113336488618133E-2</v>
      </c>
      <c r="M93">
        <f t="shared" si="14"/>
        <v>-9.6743249729879487E-3</v>
      </c>
      <c r="N93">
        <f t="shared" si="15"/>
        <v>-1.8080285716901116E-2</v>
      </c>
      <c r="O93">
        <f t="shared" si="16"/>
        <v>-1.7798594539696996E-2</v>
      </c>
      <c r="P93">
        <f t="shared" si="17"/>
        <v>-1.7057684567225891E-2</v>
      </c>
    </row>
    <row r="94" spans="1:16" x14ac:dyDescent="0.25">
      <c r="A94" s="2">
        <v>39947</v>
      </c>
      <c r="B94">
        <v>8.0705710000000003E-3</v>
      </c>
      <c r="C94">
        <v>-8.3645119999999993E-3</v>
      </c>
      <c r="D94">
        <v>1.0298404000000001E-2</v>
      </c>
      <c r="E94">
        <v>2.2945090000000001E-3</v>
      </c>
      <c r="F94">
        <v>7.1773949999999996E-3</v>
      </c>
      <c r="G94">
        <v>-2.6773548000000001E-2</v>
      </c>
      <c r="H94">
        <v>1.5633438999999999E-2</v>
      </c>
      <c r="I94">
        <v>4.393536E-3</v>
      </c>
      <c r="J94">
        <v>-1.1305018999999999E-2</v>
      </c>
      <c r="K94">
        <v>-8.3645119999999993E-3</v>
      </c>
      <c r="L94">
        <f t="shared" si="13"/>
        <v>-1.3169721345153053E-2</v>
      </c>
      <c r="M94">
        <f t="shared" si="14"/>
        <v>2.0080935333807023E-3</v>
      </c>
      <c r="N94">
        <f t="shared" si="15"/>
        <v>-8.7324126325658592E-3</v>
      </c>
      <c r="O94">
        <f t="shared" si="16"/>
        <v>-4.6720957915640801E-3</v>
      </c>
      <c r="P94">
        <f t="shared" si="17"/>
        <v>-1.2266337779984551E-2</v>
      </c>
    </row>
    <row r="95" spans="1:16" x14ac:dyDescent="0.25">
      <c r="A95" s="2">
        <v>39948</v>
      </c>
      <c r="B95">
        <v>1.1703445999999999E-2</v>
      </c>
      <c r="C95">
        <v>1.9054811000000001E-2</v>
      </c>
      <c r="D95">
        <v>-1.1475674E-2</v>
      </c>
      <c r="E95">
        <v>-2.04728E-4</v>
      </c>
      <c r="F95">
        <v>-3.3292420000000001E-3</v>
      </c>
      <c r="G95">
        <v>1.8660853000000002E-2</v>
      </c>
      <c r="H95">
        <v>-8.9180200000000005E-3</v>
      </c>
      <c r="I95">
        <v>2.5040010000000001E-3</v>
      </c>
      <c r="J95">
        <v>8.1604910000000006E-3</v>
      </c>
      <c r="K95">
        <v>1.9054811000000001E-2</v>
      </c>
      <c r="L95">
        <f t="shared" si="13"/>
        <v>1.5685359263260951E-2</v>
      </c>
      <c r="M95">
        <f t="shared" si="14"/>
        <v>2.988079184856527E-3</v>
      </c>
      <c r="N95">
        <f t="shared" si="15"/>
        <v>1.1030385757158971E-2</v>
      </c>
      <c r="O95">
        <f t="shared" si="16"/>
        <v>7.3121893829022327E-3</v>
      </c>
      <c r="P95">
        <f t="shared" si="17"/>
        <v>1.3019879444363032E-2</v>
      </c>
    </row>
    <row r="96" spans="1:16" x14ac:dyDescent="0.25">
      <c r="A96" s="2">
        <v>39951</v>
      </c>
      <c r="B96">
        <v>5.4075599999999996E-3</v>
      </c>
      <c r="C96">
        <v>8.2945710000000006E-3</v>
      </c>
      <c r="D96">
        <v>2.9936575999999999E-2</v>
      </c>
      <c r="E96">
        <v>2.3873176999999999E-2</v>
      </c>
      <c r="F96">
        <v>2.2378301999999999E-2</v>
      </c>
      <c r="G96">
        <v>-2.4731765999999999E-2</v>
      </c>
      <c r="H96">
        <v>4.8899958E-2</v>
      </c>
      <c r="I96">
        <v>2.1345106999999999E-2</v>
      </c>
      <c r="J96">
        <v>2.7348038000000002E-2</v>
      </c>
      <c r="K96">
        <v>8.2945710000000006E-3</v>
      </c>
      <c r="L96">
        <f t="shared" si="13"/>
        <v>2.7368547526261132E-2</v>
      </c>
      <c r="M96">
        <f t="shared" si="14"/>
        <v>1.48377172762832E-2</v>
      </c>
      <c r="N96">
        <f t="shared" si="15"/>
        <v>2.7940027865363468E-2</v>
      </c>
      <c r="O96">
        <f t="shared" si="16"/>
        <v>2.1821386460662014E-2</v>
      </c>
      <c r="P96">
        <f t="shared" si="17"/>
        <v>2.7779679747618222E-2</v>
      </c>
    </row>
    <row r="97" spans="1:16" x14ac:dyDescent="0.25">
      <c r="A97" s="2">
        <v>39953</v>
      </c>
      <c r="B97">
        <v>4.2840743000000001E-2</v>
      </c>
      <c r="C97">
        <v>6.1284869999999998E-2</v>
      </c>
      <c r="D97">
        <v>-6.8829620000000003E-3</v>
      </c>
      <c r="E97">
        <v>3.7812995000000002E-2</v>
      </c>
      <c r="F97">
        <v>4.9131330000000001E-3</v>
      </c>
      <c r="G97">
        <v>3.3288664000000003E-2</v>
      </c>
      <c r="H97">
        <v>-4.2450509999999997E-3</v>
      </c>
      <c r="I97">
        <v>1.7555850000000001E-2</v>
      </c>
      <c r="J97">
        <v>2.3405287E-2</v>
      </c>
      <c r="K97">
        <v>6.1284869999999998E-2</v>
      </c>
      <c r="L97">
        <f t="shared" si="13"/>
        <v>3.8912904762719684E-2</v>
      </c>
      <c r="M97">
        <f t="shared" si="14"/>
        <v>1.2451224706525399E-2</v>
      </c>
      <c r="N97">
        <f t="shared" si="15"/>
        <v>3.2616756852094253E-2</v>
      </c>
      <c r="O97">
        <f t="shared" si="16"/>
        <v>2.8133456082791872E-2</v>
      </c>
      <c r="P97">
        <f t="shared" si="17"/>
        <v>3.5339174160995454E-2</v>
      </c>
    </row>
    <row r="98" spans="1:16" x14ac:dyDescent="0.25">
      <c r="A98" s="2">
        <v>39954</v>
      </c>
      <c r="B98">
        <v>-1.1999815E-2</v>
      </c>
      <c r="C98">
        <v>-1.2065934E-2</v>
      </c>
      <c r="D98">
        <v>-1.6899609999999999E-2</v>
      </c>
      <c r="E98">
        <v>-2.7823812E-2</v>
      </c>
      <c r="F98">
        <v>-2.7889575999999999E-2</v>
      </c>
      <c r="G98">
        <v>-8.6508039999999998E-3</v>
      </c>
      <c r="H98">
        <v>-2.2856558999999999E-2</v>
      </c>
      <c r="I98">
        <v>-2.0868958E-2</v>
      </c>
      <c r="J98">
        <v>-1.7031880999999999E-2</v>
      </c>
      <c r="K98">
        <v>-1.2065934E-2</v>
      </c>
      <c r="L98">
        <f t="shared" si="13"/>
        <v>-1.8905124079661783E-2</v>
      </c>
      <c r="M98">
        <f t="shared" si="14"/>
        <v>-1.0267031774258412E-2</v>
      </c>
      <c r="N98">
        <f t="shared" si="15"/>
        <v>-2.2954135482096693E-2</v>
      </c>
      <c r="O98">
        <f t="shared" si="16"/>
        <v>-2.223203736891563E-2</v>
      </c>
      <c r="P98">
        <f t="shared" si="17"/>
        <v>-2.3360281047112727E-2</v>
      </c>
    </row>
    <row r="99" spans="1:16" x14ac:dyDescent="0.25">
      <c r="A99" s="2">
        <v>39955</v>
      </c>
      <c r="B99">
        <v>8.4305309999999998E-3</v>
      </c>
      <c r="C99">
        <v>8.5595319999999999E-3</v>
      </c>
      <c r="D99">
        <v>-1.498313E-3</v>
      </c>
      <c r="E99">
        <v>3.6825030000000002E-3</v>
      </c>
      <c r="F99">
        <v>4.5460889999999997E-3</v>
      </c>
      <c r="G99">
        <v>-4.1471210000000001E-3</v>
      </c>
      <c r="H99">
        <v>9.5574719999999991E-3</v>
      </c>
      <c r="I99">
        <v>-8.0966399999999998E-4</v>
      </c>
      <c r="J99">
        <v>2.1300799999999999E-3</v>
      </c>
      <c r="K99">
        <v>8.5595319999999999E-3</v>
      </c>
      <c r="L99">
        <f t="shared" si="13"/>
        <v>-3.899135208899895E-3</v>
      </c>
      <c r="M99">
        <f t="shared" si="14"/>
        <v>3.3136703300597915E-3</v>
      </c>
      <c r="N99">
        <f t="shared" si="15"/>
        <v>1.2713874442169528E-3</v>
      </c>
      <c r="O99">
        <f t="shared" si="16"/>
        <v>2.502369741628584E-3</v>
      </c>
      <c r="P99">
        <f t="shared" si="17"/>
        <v>-8.6630769724406346E-4</v>
      </c>
    </row>
    <row r="100" spans="1:16" x14ac:dyDescent="0.25">
      <c r="A100" s="2">
        <v>39958</v>
      </c>
      <c r="B100">
        <v>1.1166484000000001E-2</v>
      </c>
      <c r="C100">
        <v>2.8120789999999999E-3</v>
      </c>
      <c r="D100">
        <v>2.5962189E-2</v>
      </c>
      <c r="E100" s="1">
        <v>-6.0992999999999997E-5</v>
      </c>
      <c r="F100">
        <v>1.0573187E-2</v>
      </c>
      <c r="G100">
        <v>1.3050445000000001E-2</v>
      </c>
      <c r="H100">
        <v>4.8922999999999996E-3</v>
      </c>
      <c r="I100">
        <v>1.63058E-3</v>
      </c>
      <c r="J100">
        <v>8.4148299999999997E-4</v>
      </c>
      <c r="K100">
        <v>2.8120789999999999E-3</v>
      </c>
      <c r="L100">
        <f t="shared" si="13"/>
        <v>2.4858695992086141E-3</v>
      </c>
      <c r="M100">
        <f t="shared" si="14"/>
        <v>6.3743533694685401E-3</v>
      </c>
      <c r="N100">
        <f t="shared" si="15"/>
        <v>3.9454198667386621E-3</v>
      </c>
      <c r="O100">
        <f t="shared" si="16"/>
        <v>8.2453503876151885E-3</v>
      </c>
      <c r="P100">
        <f t="shared" si="17"/>
        <v>6.4320360555825372E-3</v>
      </c>
    </row>
    <row r="101" spans="1:16" x14ac:dyDescent="0.25">
      <c r="A101" s="2">
        <v>39959</v>
      </c>
      <c r="B101">
        <v>-1.5572641999999999E-2</v>
      </c>
      <c r="C101">
        <v>-2.2049111999999999E-2</v>
      </c>
      <c r="D101">
        <v>0</v>
      </c>
      <c r="E101">
        <v>1.3560317000000001E-2</v>
      </c>
      <c r="F101">
        <v>0</v>
      </c>
      <c r="G101">
        <v>-3.8793450000000002E-3</v>
      </c>
      <c r="H101">
        <v>1.9970076E-2</v>
      </c>
      <c r="I101">
        <v>6.9302900000000004E-3</v>
      </c>
      <c r="J101">
        <v>-5.331499E-3</v>
      </c>
      <c r="K101">
        <v>-2.2049111999999999E-2</v>
      </c>
      <c r="L101">
        <f t="shared" si="13"/>
        <v>-4.0414893423066506E-3</v>
      </c>
      <c r="M101">
        <f t="shared" si="14"/>
        <v>4.8311647370236268E-3</v>
      </c>
      <c r="N101">
        <f t="shared" si="15"/>
        <v>-6.2190217845103316E-4</v>
      </c>
      <c r="O101">
        <f t="shared" si="16"/>
        <v>3.1485029089629432E-3</v>
      </c>
      <c r="P101">
        <f t="shared" si="17"/>
        <v>-6.4762836851345526E-3</v>
      </c>
    </row>
    <row r="102" spans="1:16" x14ac:dyDescent="0.25">
      <c r="A102" s="2">
        <v>39960</v>
      </c>
      <c r="B102">
        <v>8.8012309999999996E-3</v>
      </c>
      <c r="C102">
        <v>6.0893650000000002E-3</v>
      </c>
      <c r="D102">
        <v>-1.9153402999999999E-2</v>
      </c>
      <c r="E102">
        <v>3.0381430000000001E-3</v>
      </c>
      <c r="F102">
        <v>1.019495E-3</v>
      </c>
      <c r="G102">
        <v>1.3649583999999999E-2</v>
      </c>
      <c r="H102">
        <v>-9.4564499999999995E-4</v>
      </c>
      <c r="I102">
        <v>3.5961280000000001E-3</v>
      </c>
      <c r="J102">
        <v>1.6360679E-2</v>
      </c>
      <c r="K102">
        <v>6.0893650000000002E-3</v>
      </c>
      <c r="L102">
        <f t="shared" si="13"/>
        <v>1.8340281622288825E-2</v>
      </c>
      <c r="M102">
        <f t="shared" si="14"/>
        <v>4.278055816040364E-3</v>
      </c>
      <c r="N102">
        <f t="shared" si="15"/>
        <v>1.6683170580838839E-2</v>
      </c>
      <c r="O102">
        <f t="shared" si="16"/>
        <v>1.0278819155038952E-2</v>
      </c>
      <c r="P102">
        <f t="shared" si="17"/>
        <v>1.7576509184196953E-2</v>
      </c>
    </row>
    <row r="103" spans="1:16" x14ac:dyDescent="0.25">
      <c r="A103" s="2">
        <v>39961</v>
      </c>
      <c r="B103">
        <v>-4.2091680000000001E-3</v>
      </c>
      <c r="C103">
        <v>-9.4697099999999992E-3</v>
      </c>
      <c r="D103">
        <v>1.5301234E-2</v>
      </c>
      <c r="E103">
        <v>-1.3668905E-2</v>
      </c>
      <c r="F103">
        <v>-6.5200090000000002E-3</v>
      </c>
      <c r="G103">
        <v>1.3361460000000001E-3</v>
      </c>
      <c r="H103">
        <v>2.3829501999999999E-2</v>
      </c>
      <c r="I103">
        <v>-9.3200929999999998E-3</v>
      </c>
      <c r="J103">
        <v>8.5828940000000006E-3</v>
      </c>
      <c r="K103">
        <v>-9.4697099999999992E-3</v>
      </c>
      <c r="L103">
        <f t="shared" si="13"/>
        <v>-7.2436292303253809E-4</v>
      </c>
      <c r="M103">
        <f t="shared" si="14"/>
        <v>2.8725750566600413E-3</v>
      </c>
      <c r="N103">
        <f t="shared" si="15"/>
        <v>9.7088137154782012E-4</v>
      </c>
      <c r="O103">
        <f t="shared" si="16"/>
        <v>4.5203634230077719E-4</v>
      </c>
      <c r="P103">
        <f t="shared" si="17"/>
        <v>-1.6295135190846259E-4</v>
      </c>
    </row>
    <row r="104" spans="1:16" x14ac:dyDescent="0.25">
      <c r="A104" s="2">
        <v>39962</v>
      </c>
      <c r="B104">
        <v>-5.1468100000000001E-4</v>
      </c>
      <c r="C104">
        <v>1.7451310000000001E-2</v>
      </c>
      <c r="D104">
        <v>1.3483449E-2</v>
      </c>
      <c r="E104">
        <v>1.6083130000000001E-3</v>
      </c>
      <c r="F104">
        <v>6.9048809999999999E-3</v>
      </c>
      <c r="G104">
        <v>7.4955990000000004E-3</v>
      </c>
      <c r="H104">
        <v>2.9556019999999999E-3</v>
      </c>
      <c r="I104">
        <v>2.7275250000000002E-3</v>
      </c>
      <c r="J104">
        <v>7.7607509999999998E-3</v>
      </c>
      <c r="K104">
        <v>1.7451310000000001E-2</v>
      </c>
      <c r="L104">
        <f t="shared" si="13"/>
        <v>1.0182066003396283E-2</v>
      </c>
      <c r="M104">
        <f t="shared" si="14"/>
        <v>5.637174100020014E-3</v>
      </c>
      <c r="N104">
        <f t="shared" si="15"/>
        <v>9.164814235967076E-3</v>
      </c>
      <c r="O104">
        <f t="shared" si="16"/>
        <v>8.7221658057222238E-3</v>
      </c>
      <c r="P104">
        <f t="shared" si="17"/>
        <v>1.1956262581167014E-2</v>
      </c>
    </row>
    <row r="105" spans="1:16" x14ac:dyDescent="0.25">
      <c r="A105" s="2">
        <v>39965</v>
      </c>
      <c r="B105">
        <v>2.8131283999999999E-2</v>
      </c>
      <c r="C105">
        <v>3.6775967999999999E-2</v>
      </c>
      <c r="D105">
        <v>2.5489965E-2</v>
      </c>
      <c r="E105">
        <v>4.0019700999999998E-2</v>
      </c>
      <c r="F105">
        <v>1.9789755999999999E-2</v>
      </c>
      <c r="G105">
        <v>1.6172017E-2</v>
      </c>
      <c r="H105">
        <v>2.3922986E-2</v>
      </c>
      <c r="I105">
        <v>2.2988537999999999E-2</v>
      </c>
      <c r="J105">
        <v>2.9978300999999999E-2</v>
      </c>
      <c r="K105">
        <v>3.6775967999999999E-2</v>
      </c>
      <c r="L105">
        <f t="shared" si="13"/>
        <v>4.0057724018521014E-2</v>
      </c>
      <c r="M105">
        <f t="shared" si="14"/>
        <v>1.7898617974602564E-2</v>
      </c>
      <c r="N105">
        <f t="shared" si="15"/>
        <v>3.7116136104676276E-2</v>
      </c>
      <c r="O105">
        <f t="shared" si="16"/>
        <v>3.356373168789499E-2</v>
      </c>
      <c r="P105">
        <f t="shared" si="17"/>
        <v>4.019294708435088E-2</v>
      </c>
    </row>
    <row r="106" spans="1:16" x14ac:dyDescent="0.25">
      <c r="A106" s="2">
        <v>39966</v>
      </c>
      <c r="B106">
        <v>-7.7924259999999999E-3</v>
      </c>
      <c r="C106">
        <v>-1.0423561E-2</v>
      </c>
      <c r="D106">
        <v>1.9813420000000001E-3</v>
      </c>
      <c r="E106">
        <v>2.9164099999999998E-4</v>
      </c>
      <c r="F106">
        <v>-6.5010470000000002E-3</v>
      </c>
      <c r="G106">
        <v>2.7406800000000001E-3</v>
      </c>
      <c r="H106">
        <v>-8.9597410000000002E-3</v>
      </c>
      <c r="I106">
        <v>4.5092599999999999E-4</v>
      </c>
      <c r="J106">
        <v>-6.6305410000000002E-3</v>
      </c>
      <c r="K106">
        <v>-1.0423561E-2</v>
      </c>
      <c r="L106">
        <f t="shared" si="13"/>
        <v>1.5650841565279035E-3</v>
      </c>
      <c r="M106">
        <f t="shared" si="14"/>
        <v>7.4542898336100007E-4</v>
      </c>
      <c r="N106">
        <f t="shared" si="15"/>
        <v>-2.683891180065236E-3</v>
      </c>
      <c r="O106">
        <f t="shared" si="16"/>
        <v>-1.1447531532868141E-3</v>
      </c>
      <c r="P106">
        <f t="shared" si="17"/>
        <v>-1.8884181071812454E-3</v>
      </c>
    </row>
    <row r="107" spans="1:16" x14ac:dyDescent="0.25">
      <c r="A107" s="2">
        <v>39967</v>
      </c>
      <c r="B107">
        <v>-2.2362446000000001E-2</v>
      </c>
      <c r="C107">
        <v>-2.0392771000000001E-2</v>
      </c>
      <c r="D107">
        <v>-1.3834486999999999E-2</v>
      </c>
      <c r="E107">
        <v>-1.7557779999999999E-2</v>
      </c>
      <c r="F107">
        <v>-2.1128500000000001E-2</v>
      </c>
      <c r="G107">
        <v>3.842444E-3</v>
      </c>
      <c r="H107">
        <v>-3.6068649000000001E-2</v>
      </c>
      <c r="I107">
        <v>-1.9199925999999999E-2</v>
      </c>
      <c r="J107">
        <v>-1.3026704E-2</v>
      </c>
      <c r="K107">
        <v>-2.0392771000000001E-2</v>
      </c>
      <c r="L107">
        <f t="shared" si="13"/>
        <v>-1.265236283112264E-2</v>
      </c>
      <c r="M107">
        <f t="shared" si="14"/>
        <v>-7.7906532395699765E-3</v>
      </c>
      <c r="N107">
        <f t="shared" si="15"/>
        <v>-1.6590751638966082E-2</v>
      </c>
      <c r="O107">
        <f t="shared" si="16"/>
        <v>-1.48603696099321E-2</v>
      </c>
      <c r="P107">
        <f t="shared" si="17"/>
        <v>-1.3857650755916967E-2</v>
      </c>
    </row>
    <row r="108" spans="1:16" x14ac:dyDescent="0.25">
      <c r="A108" s="2">
        <v>39968</v>
      </c>
      <c r="B108">
        <v>-1.9171952999999999E-2</v>
      </c>
      <c r="C108">
        <v>-2.6503017E-2</v>
      </c>
      <c r="D108">
        <v>1.1418207E-2</v>
      </c>
      <c r="E108">
        <v>2.0297789999999998E-3</v>
      </c>
      <c r="F108">
        <v>7.9814800000000004E-4</v>
      </c>
      <c r="G108">
        <v>-7.4918060000000002E-3</v>
      </c>
      <c r="H108">
        <v>2.6093133000000001E-2</v>
      </c>
      <c r="I108">
        <v>1.1986570000000001E-3</v>
      </c>
      <c r="J108">
        <v>-1.2836519999999999E-3</v>
      </c>
      <c r="K108">
        <v>-2.6503017E-2</v>
      </c>
      <c r="L108">
        <f t="shared" si="13"/>
        <v>-5.6992886337800183E-3</v>
      </c>
      <c r="M108">
        <f t="shared" si="14"/>
        <v>4.4203247807892013E-3</v>
      </c>
      <c r="N108">
        <f t="shared" si="15"/>
        <v>-1.5832407636881475E-3</v>
      </c>
      <c r="O108">
        <f t="shared" si="16"/>
        <v>1.3534069668497406E-3</v>
      </c>
      <c r="P108">
        <f t="shared" si="17"/>
        <v>-5.891472109458961E-3</v>
      </c>
    </row>
    <row r="109" spans="1:16" x14ac:dyDescent="0.25">
      <c r="A109" s="2">
        <v>39969</v>
      </c>
      <c r="B109">
        <v>1.3947094E-2</v>
      </c>
      <c r="C109">
        <v>1.4207147E-2</v>
      </c>
      <c r="D109">
        <v>-2.517863E-3</v>
      </c>
      <c r="E109">
        <v>2.411795E-3</v>
      </c>
      <c r="F109">
        <v>1.1716183999999999E-2</v>
      </c>
      <c r="G109">
        <v>1.0192006E-2</v>
      </c>
      <c r="H109">
        <v>-2.3032640000000002E-3</v>
      </c>
      <c r="I109">
        <v>6.2553629999999999E-3</v>
      </c>
      <c r="J109">
        <v>7.195201E-3</v>
      </c>
      <c r="K109">
        <v>1.4207147E-2</v>
      </c>
      <c r="L109">
        <f t="shared" si="13"/>
        <v>1.0397624963074285E-2</v>
      </c>
      <c r="M109">
        <f t="shared" si="14"/>
        <v>5.2133349005412492E-3</v>
      </c>
      <c r="N109">
        <f t="shared" si="15"/>
        <v>1.1118436895572591E-2</v>
      </c>
      <c r="O109">
        <f t="shared" si="16"/>
        <v>9.5223229992447301E-3</v>
      </c>
      <c r="P109">
        <f t="shared" si="17"/>
        <v>1.3020338756763452E-2</v>
      </c>
    </row>
    <row r="110" spans="1:16" x14ac:dyDescent="0.25">
      <c r="A110" s="2">
        <v>39972</v>
      </c>
      <c r="B110">
        <v>-3.2005875000000003E-2</v>
      </c>
      <c r="C110">
        <v>-4.3297073999999998E-2</v>
      </c>
      <c r="D110">
        <v>-1.0110519999999999E-3</v>
      </c>
      <c r="E110">
        <v>-1.4344978E-2</v>
      </c>
      <c r="F110">
        <v>-7.5533500000000003E-3</v>
      </c>
      <c r="G110">
        <v>9.9442390000000006E-3</v>
      </c>
      <c r="H110">
        <v>5.4033470000000002E-3</v>
      </c>
      <c r="I110">
        <v>-1.0088166000000001E-2</v>
      </c>
      <c r="J110">
        <v>-1.0536916E-2</v>
      </c>
      <c r="K110">
        <v>-4.3297073999999998E-2</v>
      </c>
      <c r="L110">
        <f t="shared" si="13"/>
        <v>-1.6314341589047151E-2</v>
      </c>
      <c r="M110">
        <f t="shared" si="14"/>
        <v>-9.3979173166429701E-4</v>
      </c>
      <c r="N110">
        <f t="shared" si="15"/>
        <v>-1.1794672086280412E-2</v>
      </c>
      <c r="O110">
        <f t="shared" si="16"/>
        <v>-6.5605081816514444E-3</v>
      </c>
      <c r="P110">
        <f t="shared" si="17"/>
        <v>-1.5357422493976531E-2</v>
      </c>
    </row>
    <row r="111" spans="1:16" x14ac:dyDescent="0.25">
      <c r="A111" s="2">
        <v>39973</v>
      </c>
      <c r="B111">
        <v>4.4783649999999998E-3</v>
      </c>
      <c r="C111">
        <v>6.6706860000000003E-3</v>
      </c>
      <c r="D111">
        <v>3.4970829999999998E-3</v>
      </c>
      <c r="E111">
        <v>-1.371646E-3</v>
      </c>
      <c r="F111" s="1">
        <v>-9.0805900000000004E-5</v>
      </c>
      <c r="G111">
        <v>-8.0204170000000002E-3</v>
      </c>
      <c r="H111">
        <v>-8.8588139999999996E-3</v>
      </c>
      <c r="I111">
        <v>2.247523E-3</v>
      </c>
      <c r="J111">
        <v>-5.1488879999999999E-3</v>
      </c>
      <c r="K111">
        <v>6.6706860000000003E-3</v>
      </c>
      <c r="L111">
        <f t="shared" si="13"/>
        <v>1.7618143498492095E-3</v>
      </c>
      <c r="M111">
        <f t="shared" si="14"/>
        <v>7.081351667985636E-4</v>
      </c>
      <c r="N111">
        <f t="shared" si="15"/>
        <v>-1.7835686263353552E-3</v>
      </c>
      <c r="O111">
        <f t="shared" si="16"/>
        <v>-1.655783148014371E-3</v>
      </c>
      <c r="P111">
        <f t="shared" si="17"/>
        <v>8.8161104717347869E-5</v>
      </c>
    </row>
    <row r="112" spans="1:16" x14ac:dyDescent="0.25">
      <c r="A112" s="2">
        <v>39974</v>
      </c>
      <c r="B112">
        <v>1.7089104000000001E-2</v>
      </c>
      <c r="C112">
        <v>2.671333E-2</v>
      </c>
      <c r="D112">
        <v>-3.486435E-3</v>
      </c>
      <c r="E112">
        <v>1.0612059E-2</v>
      </c>
      <c r="F112">
        <v>7.2385399999999999E-3</v>
      </c>
      <c r="G112">
        <v>2.0697147999999999E-2</v>
      </c>
      <c r="H112">
        <v>4.7669180000000002E-3</v>
      </c>
      <c r="I112">
        <v>9.5635789999999991E-3</v>
      </c>
      <c r="J112">
        <v>1.9623396000000001E-2</v>
      </c>
      <c r="K112">
        <v>2.671333E-2</v>
      </c>
      <c r="L112">
        <f t="shared" si="13"/>
        <v>2.5797117577860528E-2</v>
      </c>
      <c r="M112">
        <f t="shared" si="14"/>
        <v>8.4964056611294813E-3</v>
      </c>
      <c r="N112">
        <f t="shared" si="15"/>
        <v>2.3006792357164661E-2</v>
      </c>
      <c r="O112">
        <f t="shared" si="16"/>
        <v>1.7853943276554415E-2</v>
      </c>
      <c r="P112">
        <f t="shared" si="17"/>
        <v>2.5245680332391333E-2</v>
      </c>
    </row>
    <row r="113" spans="1:16" x14ac:dyDescent="0.25">
      <c r="A113" s="2">
        <v>39975</v>
      </c>
      <c r="B113">
        <v>9.6798500000000003E-3</v>
      </c>
      <c r="C113">
        <v>6.4143610000000004E-3</v>
      </c>
      <c r="D113">
        <v>6.0933080000000004E-3</v>
      </c>
      <c r="E113">
        <v>1.1041178E-2</v>
      </c>
      <c r="F113">
        <v>5.6412880000000004E-3</v>
      </c>
      <c r="G113">
        <v>-1.017383E-3</v>
      </c>
      <c r="H113">
        <v>2.7484620000000001E-3</v>
      </c>
      <c r="I113">
        <v>7.607936E-3</v>
      </c>
      <c r="J113">
        <v>2.888594E-3</v>
      </c>
      <c r="K113">
        <v>6.4143610000000004E-3</v>
      </c>
      <c r="L113">
        <f t="shared" si="13"/>
        <v>8.6940583208746768E-3</v>
      </c>
      <c r="M113">
        <f t="shared" si="14"/>
        <v>5.3530553939238742E-3</v>
      </c>
      <c r="N113">
        <f t="shared" si="15"/>
        <v>7.3653983339831827E-3</v>
      </c>
      <c r="O113">
        <f t="shared" si="16"/>
        <v>7.4435239150675145E-3</v>
      </c>
      <c r="P113">
        <f t="shared" si="17"/>
        <v>8.0601735281864619E-3</v>
      </c>
    </row>
    <row r="114" spans="1:16" x14ac:dyDescent="0.25">
      <c r="A114" s="2">
        <v>39976</v>
      </c>
      <c r="B114">
        <v>2.6709609999999999E-3</v>
      </c>
      <c r="C114">
        <v>8.6824429999999998E-3</v>
      </c>
      <c r="D114">
        <v>1.396013E-3</v>
      </c>
      <c r="E114">
        <v>-7.4721520000000001E-3</v>
      </c>
      <c r="F114">
        <v>-4.4699589999999999E-3</v>
      </c>
      <c r="G114">
        <v>1.5359335999999999E-2</v>
      </c>
      <c r="H114">
        <v>0</v>
      </c>
      <c r="I114">
        <v>-3.3601529999999998E-3</v>
      </c>
      <c r="J114">
        <v>-2.1802219999999999E-3</v>
      </c>
      <c r="K114">
        <v>8.6824429999999998E-3</v>
      </c>
      <c r="L114">
        <f t="shared" si="13"/>
        <v>-3.8304868879278061E-4</v>
      </c>
      <c r="M114">
        <f t="shared" si="14"/>
        <v>1.7390751203882552E-3</v>
      </c>
      <c r="N114">
        <f t="shared" si="15"/>
        <v>-8.2663152776431791E-4</v>
      </c>
      <c r="O114">
        <f t="shared" si="16"/>
        <v>1.0184357469064259E-3</v>
      </c>
      <c r="P114">
        <f t="shared" si="17"/>
        <v>-1.1417024065648869E-3</v>
      </c>
    </row>
    <row r="115" spans="1:16" x14ac:dyDescent="0.25">
      <c r="A115" s="2">
        <v>39979</v>
      </c>
      <c r="B115">
        <v>-3.6237869999999998E-3</v>
      </c>
      <c r="C115">
        <v>-1.0935365000000001E-2</v>
      </c>
      <c r="D115">
        <v>-2.4055535999999999E-2</v>
      </c>
      <c r="E115">
        <v>-3.6010871999999999E-2</v>
      </c>
      <c r="F115">
        <v>-2.6461398000000001E-2</v>
      </c>
      <c r="G115">
        <v>-9.5314389999999992E-3</v>
      </c>
      <c r="H115">
        <v>-2.8867828000000002E-2</v>
      </c>
      <c r="I115">
        <v>-2.6607747000000001E-2</v>
      </c>
      <c r="J115">
        <v>-2.1109333000000001E-2</v>
      </c>
      <c r="K115">
        <v>-1.0935365000000001E-2</v>
      </c>
      <c r="L115">
        <f t="shared" si="13"/>
        <v>-2.8623457446549379E-2</v>
      </c>
      <c r="M115">
        <f t="shared" si="14"/>
        <v>-1.2932171575119613E-2</v>
      </c>
      <c r="N115">
        <f t="shared" si="15"/>
        <v>-2.901796823390855E-2</v>
      </c>
      <c r="O115">
        <f t="shared" si="16"/>
        <v>-2.7183670441680199E-2</v>
      </c>
      <c r="P115">
        <f t="shared" si="17"/>
        <v>-2.9797242892678266E-2</v>
      </c>
    </row>
    <row r="116" spans="1:16" x14ac:dyDescent="0.25">
      <c r="A116" s="2">
        <v>39980</v>
      </c>
      <c r="B116">
        <v>-4.441286E-3</v>
      </c>
      <c r="C116">
        <v>-4.1155310000000004E-3</v>
      </c>
      <c r="D116">
        <v>-1.2801900999999999E-2</v>
      </c>
      <c r="E116">
        <v>1.59498E-4</v>
      </c>
      <c r="F116">
        <v>6.0083700000000001E-4</v>
      </c>
      <c r="G116">
        <v>-2.8981619E-2</v>
      </c>
      <c r="H116">
        <v>-1.6040637999999999E-2</v>
      </c>
      <c r="I116">
        <v>-1.898177E-3</v>
      </c>
      <c r="J116">
        <v>-9.4526939999999993E-3</v>
      </c>
      <c r="K116">
        <v>-4.1155310000000004E-3</v>
      </c>
      <c r="L116">
        <f t="shared" si="13"/>
        <v>-9.9113382875389896E-3</v>
      </c>
      <c r="M116">
        <f t="shared" si="14"/>
        <v>-3.1148271843873458E-3</v>
      </c>
      <c r="N116">
        <f t="shared" si="15"/>
        <v>-9.0958337955556294E-3</v>
      </c>
      <c r="O116">
        <f t="shared" si="16"/>
        <v>-9.3637874160032407E-3</v>
      </c>
      <c r="P116">
        <f t="shared" si="17"/>
        <v>-8.8341743093090872E-3</v>
      </c>
    </row>
    <row r="117" spans="1:16" x14ac:dyDescent="0.25">
      <c r="A117" s="2">
        <v>39981</v>
      </c>
      <c r="B117">
        <v>1.6880650000000001E-3</v>
      </c>
      <c r="C117">
        <v>-2.3977059999999999E-3</v>
      </c>
      <c r="D117">
        <v>-1.38258E-3</v>
      </c>
      <c r="E117">
        <v>-1.8727780999999999E-2</v>
      </c>
      <c r="F117">
        <v>-1.1641683E-2</v>
      </c>
      <c r="G117">
        <v>8.979463E-3</v>
      </c>
      <c r="H117">
        <v>-3.1295260000000001E-3</v>
      </c>
      <c r="I117">
        <v>-1.7037019E-2</v>
      </c>
      <c r="J117">
        <v>-1.3276347000000001E-2</v>
      </c>
      <c r="K117">
        <v>-2.3977059999999999E-3</v>
      </c>
      <c r="L117">
        <f t="shared" si="13"/>
        <v>-2.2159432094499242E-2</v>
      </c>
      <c r="M117">
        <f t="shared" si="14"/>
        <v>-3.3979494782164451E-3</v>
      </c>
      <c r="N117">
        <f t="shared" si="15"/>
        <v>-1.718832792327845E-2</v>
      </c>
      <c r="O117">
        <f t="shared" si="16"/>
        <v>-1.0945511498731389E-2</v>
      </c>
      <c r="P117">
        <f t="shared" si="17"/>
        <v>-1.9831027704916907E-2</v>
      </c>
    </row>
    <row r="118" spans="1:16" x14ac:dyDescent="0.25">
      <c r="A118" s="2">
        <v>39982</v>
      </c>
      <c r="B118">
        <v>3.1866011999999999E-2</v>
      </c>
      <c r="C118">
        <v>2.4440981000000001E-2</v>
      </c>
      <c r="D118">
        <v>8.3758440000000003E-3</v>
      </c>
      <c r="E118">
        <v>7.7821729999999999E-3</v>
      </c>
      <c r="F118">
        <v>5.6078699999999998E-4</v>
      </c>
      <c r="G118">
        <v>-1.4032772000000001E-2</v>
      </c>
      <c r="H118">
        <v>-2.8053259999999999E-3</v>
      </c>
      <c r="I118">
        <v>6.5326949999999998E-3</v>
      </c>
      <c r="J118">
        <v>-9.8276679999999995E-3</v>
      </c>
      <c r="K118">
        <v>2.4440981000000001E-2</v>
      </c>
      <c r="L118">
        <f t="shared" si="13"/>
        <v>-7.8110457211689978E-4</v>
      </c>
      <c r="M118">
        <f t="shared" si="14"/>
        <v>1.9591621489960902E-3</v>
      </c>
      <c r="N118">
        <f t="shared" si="15"/>
        <v>-3.7917037433605211E-3</v>
      </c>
      <c r="O118">
        <f t="shared" si="16"/>
        <v>-1.3026995060725678E-3</v>
      </c>
      <c r="P118">
        <f t="shared" si="17"/>
        <v>-3.7894653923701616E-3</v>
      </c>
    </row>
    <row r="119" spans="1:16" x14ac:dyDescent="0.25">
      <c r="A119" s="2">
        <v>39983</v>
      </c>
      <c r="B119">
        <v>2.9179940000000001E-3</v>
      </c>
      <c r="C119">
        <v>9.3713440000000002E-3</v>
      </c>
      <c r="D119">
        <v>3.1093739999999998E-3</v>
      </c>
      <c r="E119">
        <v>4.0922000000000002E-4</v>
      </c>
      <c r="F119">
        <v>1.5069604E-2</v>
      </c>
      <c r="G119">
        <v>8.4700439999999995E-3</v>
      </c>
      <c r="H119">
        <v>9.2103470000000007E-3</v>
      </c>
      <c r="I119">
        <v>1.0530484999999999E-2</v>
      </c>
      <c r="J119">
        <v>7.5049720000000004E-3</v>
      </c>
      <c r="K119">
        <v>9.3713440000000002E-3</v>
      </c>
      <c r="L119">
        <f t="shared" si="13"/>
        <v>1.1853900373030848E-2</v>
      </c>
      <c r="M119">
        <f t="shared" si="14"/>
        <v>6.777866655858257E-3</v>
      </c>
      <c r="N119">
        <f t="shared" si="15"/>
        <v>1.2691181265863029E-2</v>
      </c>
      <c r="O119">
        <f t="shared" si="16"/>
        <v>1.0954100423784327E-2</v>
      </c>
      <c r="P119">
        <f t="shared" si="17"/>
        <v>1.3555317229696424E-2</v>
      </c>
    </row>
    <row r="120" spans="1:16" x14ac:dyDescent="0.25">
      <c r="A120" s="2">
        <v>39986</v>
      </c>
      <c r="B120">
        <v>-1.1589253000000001E-2</v>
      </c>
      <c r="C120">
        <v>-1.4240564000000001E-2</v>
      </c>
      <c r="D120">
        <v>-3.1078360999999999E-2</v>
      </c>
      <c r="E120">
        <v>-3.0645878000000001E-2</v>
      </c>
      <c r="F120">
        <v>-2.6085699E-2</v>
      </c>
      <c r="G120">
        <v>4.08005E-3</v>
      </c>
      <c r="H120">
        <v>-3.7260554000000001E-2</v>
      </c>
      <c r="I120">
        <v>-2.8450775000000001E-2</v>
      </c>
      <c r="J120">
        <v>-1.1895017000000001E-2</v>
      </c>
      <c r="K120">
        <v>-1.4240564000000001E-2</v>
      </c>
      <c r="L120">
        <f t="shared" si="13"/>
        <v>-2.0648676611472634E-2</v>
      </c>
      <c r="M120">
        <f t="shared" si="14"/>
        <v>-1.1589172219684156E-2</v>
      </c>
      <c r="N120">
        <f t="shared" si="15"/>
        <v>-2.1045050837933357E-2</v>
      </c>
      <c r="O120">
        <f t="shared" si="16"/>
        <v>-2.1066108233968858E-2</v>
      </c>
      <c r="P120">
        <f t="shared" si="17"/>
        <v>-1.995942500674365E-2</v>
      </c>
    </row>
    <row r="121" spans="1:16" x14ac:dyDescent="0.25">
      <c r="A121" s="2">
        <v>39987</v>
      </c>
      <c r="B121">
        <v>-1.4168795E-2</v>
      </c>
      <c r="C121">
        <v>-2.4762184E-2</v>
      </c>
      <c r="D121">
        <v>2.304071E-3</v>
      </c>
      <c r="E121">
        <v>2.9253629999999998E-3</v>
      </c>
      <c r="F121">
        <v>-9.4518E-4</v>
      </c>
      <c r="G121">
        <v>-2.8559095999999999E-2</v>
      </c>
      <c r="H121">
        <v>6.4244150000000002E-3</v>
      </c>
      <c r="I121">
        <v>-3.9708700000000002E-4</v>
      </c>
      <c r="J121">
        <v>-1.4676580999999999E-2</v>
      </c>
      <c r="K121">
        <v>-2.4762184E-2</v>
      </c>
      <c r="L121">
        <f t="shared" si="13"/>
        <v>-1.6976103513633076E-2</v>
      </c>
      <c r="M121">
        <f t="shared" si="14"/>
        <v>-7.3163626307494499E-4</v>
      </c>
      <c r="N121">
        <f t="shared" si="15"/>
        <v>-1.3455851134402237E-2</v>
      </c>
      <c r="O121">
        <f t="shared" si="16"/>
        <v>-9.1392582090936113E-3</v>
      </c>
      <c r="P121">
        <f t="shared" si="17"/>
        <v>-1.7274831491656716E-2</v>
      </c>
    </row>
    <row r="122" spans="1:16" x14ac:dyDescent="0.25">
      <c r="A122" s="2">
        <v>39988</v>
      </c>
      <c r="B122">
        <v>2.4046363000000001E-2</v>
      </c>
      <c r="C122">
        <v>3.2322168999999998E-2</v>
      </c>
      <c r="D122">
        <v>6.5032190000000002E-3</v>
      </c>
      <c r="E122">
        <v>2.7007370999999999E-2</v>
      </c>
      <c r="F122">
        <v>1.1751017000000001E-2</v>
      </c>
      <c r="G122">
        <v>4.2539400000000003E-3</v>
      </c>
      <c r="H122">
        <v>-2.8546750000000001E-3</v>
      </c>
      <c r="I122">
        <v>2.1006006000000001E-2</v>
      </c>
      <c r="J122">
        <v>1.6991546E-2</v>
      </c>
      <c r="K122">
        <v>3.2322168999999998E-2</v>
      </c>
      <c r="L122">
        <f t="shared" si="13"/>
        <v>3.4988485161136548E-2</v>
      </c>
      <c r="M122">
        <f t="shared" si="14"/>
        <v>1.0314183795377825E-2</v>
      </c>
      <c r="N122">
        <f t="shared" si="15"/>
        <v>2.6379799286794778E-2</v>
      </c>
      <c r="O122">
        <f t="shared" si="16"/>
        <v>2.0659785585924555E-2</v>
      </c>
      <c r="P122">
        <f t="shared" si="17"/>
        <v>3.1216395421883435E-2</v>
      </c>
    </row>
    <row r="123" spans="1:16" x14ac:dyDescent="0.25">
      <c r="A123" s="2">
        <v>39989</v>
      </c>
      <c r="B123">
        <v>1.5786402000000001E-2</v>
      </c>
      <c r="C123">
        <v>2.0041017000000001E-2</v>
      </c>
      <c r="D123">
        <v>2.1217575999999998E-2</v>
      </c>
      <c r="E123">
        <v>-7.3574230000000001E-3</v>
      </c>
      <c r="F123">
        <v>-6.4224490000000002E-3</v>
      </c>
      <c r="G123">
        <v>2.1228048999999999E-2</v>
      </c>
      <c r="H123">
        <v>3.6431632999999998E-2</v>
      </c>
      <c r="I123">
        <v>-6.4918759999999997E-3</v>
      </c>
      <c r="J123">
        <v>1.3359035999999999E-2</v>
      </c>
      <c r="K123">
        <v>2.0041017000000001E-2</v>
      </c>
      <c r="L123">
        <f t="shared" si="13"/>
        <v>4.8348174641807042E-3</v>
      </c>
      <c r="M123">
        <f t="shared" si="14"/>
        <v>7.1164936608731303E-3</v>
      </c>
      <c r="N123">
        <f t="shared" si="15"/>
        <v>7.523118107004516E-3</v>
      </c>
      <c r="O123">
        <f t="shared" si="16"/>
        <v>8.6935101595979787E-3</v>
      </c>
      <c r="P123">
        <f t="shared" si="17"/>
        <v>4.721115579505962E-3</v>
      </c>
    </row>
    <row r="124" spans="1:16" x14ac:dyDescent="0.25">
      <c r="A124" s="2">
        <v>39990</v>
      </c>
      <c r="B124">
        <v>1.1719597999999999E-2</v>
      </c>
      <c r="C124">
        <v>2.0944879999999999E-2</v>
      </c>
      <c r="D124">
        <v>-1.4789359999999999E-3</v>
      </c>
      <c r="E124">
        <v>-5.0307980000000004E-3</v>
      </c>
      <c r="F124">
        <v>-2.7314700000000002E-3</v>
      </c>
      <c r="G124">
        <v>8.2660010000000003E-3</v>
      </c>
      <c r="H124">
        <v>-5.6310099999999999E-4</v>
      </c>
      <c r="I124">
        <v>-2.4345529999999999E-3</v>
      </c>
      <c r="J124">
        <v>9.8960249999999993E-3</v>
      </c>
      <c r="K124">
        <v>2.0944879999999999E-2</v>
      </c>
      <c r="L124">
        <f t="shared" si="13"/>
        <v>1.0450456133543246E-2</v>
      </c>
      <c r="M124">
        <f t="shared" si="14"/>
        <v>2.6474453434656075E-3</v>
      </c>
      <c r="N124">
        <f t="shared" si="15"/>
        <v>8.0249250666396509E-3</v>
      </c>
      <c r="O124">
        <f t="shared" si="16"/>
        <v>4.6443642071030203E-3</v>
      </c>
      <c r="P124">
        <f t="shared" si="17"/>
        <v>1.0048104969293838E-2</v>
      </c>
    </row>
    <row r="125" spans="1:16" x14ac:dyDescent="0.25">
      <c r="A125" s="2">
        <v>39993</v>
      </c>
      <c r="B125">
        <v>2.3155839999999999E-3</v>
      </c>
      <c r="C125">
        <v>4.5391750000000003E-3</v>
      </c>
      <c r="D125">
        <v>9.0243440000000001E-3</v>
      </c>
      <c r="E125">
        <v>2.2485929000000002E-2</v>
      </c>
      <c r="F125">
        <v>1.2419609E-2</v>
      </c>
      <c r="G125">
        <v>-9.5540799999999995E-3</v>
      </c>
      <c r="H125">
        <v>1.2584122999999999E-2</v>
      </c>
      <c r="I125">
        <v>1.6100960000000001E-2</v>
      </c>
      <c r="J125">
        <v>3.009271E-3</v>
      </c>
      <c r="K125">
        <v>4.5391750000000003E-3</v>
      </c>
      <c r="L125">
        <f t="shared" si="13"/>
        <v>1.0847324314358441E-2</v>
      </c>
      <c r="M125">
        <f t="shared" si="14"/>
        <v>8.1950034714163116E-3</v>
      </c>
      <c r="N125">
        <f t="shared" si="15"/>
        <v>1.0709329408637381E-2</v>
      </c>
      <c r="O125">
        <f t="shared" si="16"/>
        <v>1.1233375637325021E-2</v>
      </c>
      <c r="P125">
        <f t="shared" si="17"/>
        <v>9.7558126150139694E-3</v>
      </c>
    </row>
    <row r="126" spans="1:16" x14ac:dyDescent="0.25">
      <c r="A126" s="2">
        <v>39994</v>
      </c>
      <c r="B126">
        <v>2.9296550000000002E-3</v>
      </c>
      <c r="C126">
        <v>6.4621610000000001E-3</v>
      </c>
      <c r="D126">
        <v>-8.5673810000000006E-3</v>
      </c>
      <c r="E126">
        <v>-1.5773408999999999E-2</v>
      </c>
      <c r="F126">
        <v>-1.0487969999999999E-2</v>
      </c>
      <c r="G126">
        <v>1.7726206000000001E-2</v>
      </c>
      <c r="H126">
        <v>-1.2992085E-2</v>
      </c>
      <c r="I126">
        <v>-9.7563140000000003E-3</v>
      </c>
      <c r="J126">
        <v>-6.9320939999999998E-3</v>
      </c>
      <c r="K126">
        <v>6.4621610000000001E-3</v>
      </c>
      <c r="L126">
        <f t="shared" si="13"/>
        <v>-6.0466098086037461E-3</v>
      </c>
      <c r="M126">
        <f t="shared" si="14"/>
        <v>-2.1242310611816928E-3</v>
      </c>
      <c r="N126">
        <f t="shared" si="15"/>
        <v>-6.9649959087676157E-3</v>
      </c>
      <c r="O126">
        <f t="shared" si="16"/>
        <v>-5.0512068267873312E-3</v>
      </c>
      <c r="P126">
        <f t="shared" si="17"/>
        <v>-6.7800329153058139E-3</v>
      </c>
    </row>
    <row r="127" spans="1:16" x14ac:dyDescent="0.25">
      <c r="A127" s="2">
        <v>39995</v>
      </c>
      <c r="B127">
        <v>7.9968009999999996E-3</v>
      </c>
      <c r="C127">
        <v>8.0668649999999995E-3</v>
      </c>
      <c r="D127">
        <v>4.3524339999999996E-3</v>
      </c>
      <c r="E127">
        <v>1.9930494E-2</v>
      </c>
      <c r="F127">
        <v>2.1304896E-2</v>
      </c>
      <c r="G127">
        <v>-1.8604540000000001E-3</v>
      </c>
      <c r="H127">
        <v>1.5338470000000001E-3</v>
      </c>
      <c r="I127">
        <v>1.8996966000000001E-2</v>
      </c>
      <c r="J127">
        <v>1.1049659999999999E-2</v>
      </c>
      <c r="K127">
        <v>8.0668649999999995E-3</v>
      </c>
      <c r="L127">
        <f t="shared" si="13"/>
        <v>2.1138723219811306E-2</v>
      </c>
      <c r="M127">
        <f t="shared" si="14"/>
        <v>9.2884034383289068E-3</v>
      </c>
      <c r="N127">
        <f t="shared" si="15"/>
        <v>1.9733654839738025E-2</v>
      </c>
      <c r="O127">
        <f t="shared" si="16"/>
        <v>1.6723615715143206E-2</v>
      </c>
      <c r="P127">
        <f t="shared" si="17"/>
        <v>2.261326555750429E-2</v>
      </c>
    </row>
    <row r="128" spans="1:16" x14ac:dyDescent="0.25">
      <c r="A128" s="2">
        <v>39996</v>
      </c>
      <c r="B128">
        <v>-5.5907149999999996E-3</v>
      </c>
      <c r="C128">
        <v>-2.9636950000000001E-3</v>
      </c>
      <c r="D128">
        <v>-2.9577646999999999E-2</v>
      </c>
      <c r="E128">
        <v>-3.8855960000000002E-2</v>
      </c>
      <c r="F128">
        <v>-2.4817599999999999E-2</v>
      </c>
      <c r="G128">
        <v>-6.4372190000000001E-3</v>
      </c>
      <c r="H128">
        <v>-1.0120103E-2</v>
      </c>
      <c r="I128">
        <v>-2.6148902000000002E-2</v>
      </c>
      <c r="J128">
        <v>-4.8370230000000002E-3</v>
      </c>
      <c r="K128">
        <v>-2.9636950000000001E-3</v>
      </c>
      <c r="L128">
        <f t="shared" si="13"/>
        <v>-1.8919781475336375E-2</v>
      </c>
      <c r="M128">
        <f t="shared" si="14"/>
        <v>-1.0252802138470385E-2</v>
      </c>
      <c r="N128">
        <f t="shared" si="15"/>
        <v>-1.7632987424589106E-2</v>
      </c>
      <c r="O128">
        <f t="shared" si="16"/>
        <v>-2.1053721022730433E-2</v>
      </c>
      <c r="P128">
        <f t="shared" si="17"/>
        <v>-1.9592312659363835E-2</v>
      </c>
    </row>
    <row r="129" spans="1:16" x14ac:dyDescent="0.25">
      <c r="A129" s="2">
        <v>39997</v>
      </c>
      <c r="B129">
        <v>-6.5188160000000002E-3</v>
      </c>
      <c r="C129">
        <v>-1.1508276E-2</v>
      </c>
      <c r="D129">
        <v>2.5624760000000002E-3</v>
      </c>
      <c r="E129">
        <v>-2.18104E-3</v>
      </c>
      <c r="F129">
        <v>4.7222200000000001E-4</v>
      </c>
      <c r="G129">
        <v>-6.1019209999999997E-3</v>
      </c>
      <c r="H129">
        <v>-1.765399E-3</v>
      </c>
      <c r="I129">
        <v>-1.2980399999999999E-4</v>
      </c>
      <c r="J129">
        <v>8.6407400000000005E-4</v>
      </c>
      <c r="K129">
        <v>-1.1508276E-2</v>
      </c>
      <c r="L129">
        <f t="shared" si="13"/>
        <v>2.489803699804709E-3</v>
      </c>
      <c r="M129">
        <f t="shared" si="14"/>
        <v>1.6150602724920187E-3</v>
      </c>
      <c r="N129">
        <f t="shared" si="15"/>
        <v>1.1509535445140035E-3</v>
      </c>
      <c r="O129">
        <f t="shared" si="16"/>
        <v>2.8192699792508637E-4</v>
      </c>
      <c r="P129">
        <f t="shared" si="17"/>
        <v>2.395779975566688E-3</v>
      </c>
    </row>
    <row r="130" spans="1:16" x14ac:dyDescent="0.25">
      <c r="A130" s="2">
        <v>40000</v>
      </c>
      <c r="B130">
        <v>-1.0530699999999999E-3</v>
      </c>
      <c r="C130">
        <v>-9.7248520000000008E-3</v>
      </c>
      <c r="D130">
        <v>0</v>
      </c>
      <c r="E130">
        <v>-1.2049252E-2</v>
      </c>
      <c r="F130">
        <v>-9.8207450000000005E-3</v>
      </c>
      <c r="G130">
        <v>-1.3869065E-2</v>
      </c>
      <c r="H130">
        <v>-6.1640460000000003E-3</v>
      </c>
      <c r="I130">
        <v>-1.052673E-2</v>
      </c>
      <c r="J130">
        <v>-1.3954751E-2</v>
      </c>
      <c r="K130">
        <v>-9.7248520000000008E-3</v>
      </c>
      <c r="L130">
        <f t="shared" si="13"/>
        <v>-1.7360103201576653E-2</v>
      </c>
      <c r="M130">
        <f t="shared" si="14"/>
        <v>-3.8719499415384513E-3</v>
      </c>
      <c r="N130">
        <f t="shared" si="15"/>
        <v>-1.6276951317451063E-2</v>
      </c>
      <c r="O130">
        <f t="shared" si="16"/>
        <v>-1.2713250176979135E-2</v>
      </c>
      <c r="P130">
        <f t="shared" si="17"/>
        <v>-1.7588258471866857E-2</v>
      </c>
    </row>
    <row r="131" spans="1:16" x14ac:dyDescent="0.25">
      <c r="A131" s="2">
        <v>40001</v>
      </c>
      <c r="B131">
        <v>1.2265455E-2</v>
      </c>
      <c r="C131">
        <v>1.7404655000000002E-2</v>
      </c>
      <c r="D131">
        <v>-1.9879851E-2</v>
      </c>
      <c r="E131">
        <v>-1.1595793E-2</v>
      </c>
      <c r="F131">
        <v>-1.8850150000000001E-3</v>
      </c>
      <c r="G131">
        <v>-3.4229E-3</v>
      </c>
      <c r="H131">
        <v>-2.3282659000000001E-2</v>
      </c>
      <c r="I131">
        <v>-5.0628920000000003E-3</v>
      </c>
      <c r="J131">
        <v>-2.3886979999999999E-3</v>
      </c>
      <c r="K131">
        <v>1.7404655000000002E-2</v>
      </c>
      <c r="L131">
        <f t="shared" si="13"/>
        <v>-1.1457760841985798E-3</v>
      </c>
      <c r="M131">
        <f t="shared" si="14"/>
        <v>-3.1523875878591207E-3</v>
      </c>
      <c r="N131">
        <f t="shared" si="15"/>
        <v>-2.629630357934678E-3</v>
      </c>
      <c r="O131">
        <f t="shared" si="16"/>
        <v>-5.5288832523801802E-3</v>
      </c>
      <c r="P131">
        <f t="shared" si="17"/>
        <v>-1.4105059333866399E-4</v>
      </c>
    </row>
    <row r="132" spans="1:16" x14ac:dyDescent="0.25">
      <c r="A132" s="2">
        <v>40002</v>
      </c>
      <c r="B132">
        <v>-1.519732E-3</v>
      </c>
      <c r="C132">
        <v>-9.8358999999999999E-3</v>
      </c>
      <c r="D132">
        <v>-1.669895E-3</v>
      </c>
      <c r="E132">
        <v>-5.5698420000000002E-3</v>
      </c>
      <c r="F132">
        <v>-1.1240391000000001E-2</v>
      </c>
      <c r="G132">
        <v>-2.3814169999999999E-2</v>
      </c>
      <c r="H132">
        <v>-5.6572360000000004E-3</v>
      </c>
      <c r="I132">
        <v>-1.1370978E-2</v>
      </c>
      <c r="J132">
        <v>-7.945176E-3</v>
      </c>
      <c r="K132">
        <v>-9.8358999999999999E-3</v>
      </c>
      <c r="L132">
        <f t="shared" ref="L132:L195" si="18">SUMPRODUCT(D132:J132,$R$8:$X$8)+$Y$8</f>
        <v>-1.3898275684388131E-2</v>
      </c>
      <c r="M132">
        <f t="shared" ref="M132:M195" si="19">SUMPRODUCT(D132:J132,$R$16:$X$16)+$Y$16</f>
        <v>-3.6508770458731983E-3</v>
      </c>
      <c r="N132">
        <f t="shared" ref="N132:N195" si="20">SUMPRODUCT(D132:J132,$R$24:$X$24)+$Y$24</f>
        <v>-1.3188224151557789E-2</v>
      </c>
      <c r="O132">
        <f t="shared" ref="O132:O195" si="21">SUMPRODUCT(D132:J132,$R$32:$X$32)+$Y$32</f>
        <v>-1.1874414977293746E-2</v>
      </c>
      <c r="P132">
        <f t="shared" ref="P132:P195" si="22">SUMPRODUCT(D132:J132,$R$40:$X$40)+$Y$40</f>
        <v>-1.3985066539087697E-2</v>
      </c>
    </row>
    <row r="133" spans="1:16" x14ac:dyDescent="0.25">
      <c r="A133" s="2">
        <v>40003</v>
      </c>
      <c r="B133">
        <v>-4.5390359999999998E-3</v>
      </c>
      <c r="C133">
        <v>-1.230056E-3</v>
      </c>
      <c r="D133">
        <v>3.540952E-3</v>
      </c>
      <c r="E133">
        <v>1.2479081E-2</v>
      </c>
      <c r="F133">
        <v>4.4584300000000002E-3</v>
      </c>
      <c r="G133">
        <v>-1.3862055999999999E-2</v>
      </c>
      <c r="H133">
        <v>8.7399299999999999E-4</v>
      </c>
      <c r="I133">
        <v>5.7135509999999999E-3</v>
      </c>
      <c r="J133">
        <v>3.5460829999999998E-3</v>
      </c>
      <c r="K133">
        <v>-1.230056E-3</v>
      </c>
      <c r="L133">
        <f t="shared" si="18"/>
        <v>6.723364943189673E-3</v>
      </c>
      <c r="M133">
        <f t="shared" si="19"/>
        <v>3.9807044244087823E-3</v>
      </c>
      <c r="N133">
        <f t="shared" si="20"/>
        <v>5.6154456494800185E-3</v>
      </c>
      <c r="O133">
        <f t="shared" si="21"/>
        <v>4.499800718743471E-3</v>
      </c>
      <c r="P133">
        <f t="shared" si="22"/>
        <v>6.4921803607560728E-3</v>
      </c>
    </row>
    <row r="134" spans="1:16" x14ac:dyDescent="0.25">
      <c r="A134" s="2">
        <v>40004</v>
      </c>
      <c r="B134">
        <v>-5.6173430000000003E-3</v>
      </c>
      <c r="C134">
        <v>-8.9273470000000004E-3</v>
      </c>
      <c r="D134">
        <v>-4.0299519999999998E-3</v>
      </c>
      <c r="E134">
        <v>-1.167899E-2</v>
      </c>
      <c r="F134">
        <v>-7.6033139999999999E-3</v>
      </c>
      <c r="G134">
        <v>-4.0692499999999998E-4</v>
      </c>
      <c r="H134">
        <v>0</v>
      </c>
      <c r="I134">
        <v>-1.0951064999999999E-2</v>
      </c>
      <c r="J134">
        <v>-3.4568860000000002E-3</v>
      </c>
      <c r="K134">
        <v>-8.9273470000000004E-3</v>
      </c>
      <c r="L134">
        <f t="shared" si="18"/>
        <v>-1.0423308607350919E-2</v>
      </c>
      <c r="M134">
        <f t="shared" si="19"/>
        <v>-1.4314513630626384E-3</v>
      </c>
      <c r="N134">
        <f t="shared" si="20"/>
        <v>-7.6582530670719099E-3</v>
      </c>
      <c r="O134">
        <f t="shared" si="21"/>
        <v>-6.1117376963228491E-3</v>
      </c>
      <c r="P134">
        <f t="shared" si="22"/>
        <v>-9.0293705215161221E-3</v>
      </c>
    </row>
    <row r="135" spans="1:16" x14ac:dyDescent="0.25">
      <c r="A135" s="2">
        <v>40007</v>
      </c>
      <c r="B135">
        <v>6.0741470000000002E-3</v>
      </c>
      <c r="C135">
        <v>3.941595E-3</v>
      </c>
      <c r="D135">
        <v>2.4627968E-2</v>
      </c>
      <c r="E135">
        <v>3.1411442999999997E-2</v>
      </c>
      <c r="F135">
        <v>1.7985188999999999E-2</v>
      </c>
      <c r="G135">
        <v>-2.5844500999999999E-2</v>
      </c>
      <c r="H135">
        <v>-6.9100100000000001E-4</v>
      </c>
      <c r="I135">
        <v>2.0103772999999998E-2</v>
      </c>
      <c r="J135">
        <v>-1.3401351000000001E-2</v>
      </c>
      <c r="K135">
        <v>3.941595E-3</v>
      </c>
      <c r="L135">
        <f t="shared" si="18"/>
        <v>1.0433828620732073E-3</v>
      </c>
      <c r="M135">
        <f t="shared" si="19"/>
        <v>7.2118903557685729E-3</v>
      </c>
      <c r="N135">
        <f t="shared" si="20"/>
        <v>7.4595042551643849E-5</v>
      </c>
      <c r="O135">
        <f t="shared" si="21"/>
        <v>6.4102870423852487E-3</v>
      </c>
      <c r="P135">
        <f t="shared" si="22"/>
        <v>6.7174436679349114E-4</v>
      </c>
    </row>
    <row r="136" spans="1:16" x14ac:dyDescent="0.25">
      <c r="A136" s="2">
        <v>40008</v>
      </c>
      <c r="B136">
        <v>-8.2322369999999999E-3</v>
      </c>
      <c r="C136">
        <v>1.961398E-3</v>
      </c>
      <c r="D136">
        <v>5.3019399999999998E-3</v>
      </c>
      <c r="E136">
        <v>1.2489600999999999E-2</v>
      </c>
      <c r="F136">
        <v>8.4362689999999997E-3</v>
      </c>
      <c r="G136">
        <v>2.3098272999999999E-2</v>
      </c>
      <c r="H136">
        <v>-6.4042639999999998E-3</v>
      </c>
      <c r="I136">
        <v>9.8105899999999992E-3</v>
      </c>
      <c r="J136">
        <v>1.6832183000000001E-2</v>
      </c>
      <c r="K136">
        <v>1.961398E-3</v>
      </c>
      <c r="L136">
        <f t="shared" si="18"/>
        <v>2.7452133051113568E-2</v>
      </c>
      <c r="M136">
        <f t="shared" si="19"/>
        <v>8.5330061663501273E-3</v>
      </c>
      <c r="N136">
        <f t="shared" si="20"/>
        <v>2.2184382541219346E-2</v>
      </c>
      <c r="O136">
        <f t="shared" si="21"/>
        <v>1.8434103827570842E-2</v>
      </c>
      <c r="P136">
        <f t="shared" si="22"/>
        <v>2.7266292567670623E-2</v>
      </c>
    </row>
    <row r="137" spans="1:16" x14ac:dyDescent="0.25">
      <c r="A137" s="2">
        <v>40009</v>
      </c>
      <c r="B137">
        <v>3.2511511999999999E-2</v>
      </c>
      <c r="C137">
        <v>3.6041523999999998E-2</v>
      </c>
      <c r="D137">
        <v>2.9199472000000001E-2</v>
      </c>
      <c r="E137">
        <v>3.0228466999999998E-2</v>
      </c>
      <c r="F137">
        <v>2.5350253999999999E-2</v>
      </c>
      <c r="G137">
        <v>8.0297599999999995E-4</v>
      </c>
      <c r="H137">
        <v>4.8407173999999997E-2</v>
      </c>
      <c r="I137">
        <v>2.7037465E-2</v>
      </c>
      <c r="J137">
        <v>2.7435226E-2</v>
      </c>
      <c r="K137">
        <v>3.6041523999999998E-2</v>
      </c>
      <c r="L137">
        <f t="shared" si="18"/>
        <v>3.350154354808374E-2</v>
      </c>
      <c r="M137">
        <f t="shared" si="19"/>
        <v>1.8239208072354501E-2</v>
      </c>
      <c r="N137">
        <f t="shared" si="20"/>
        <v>3.3920112206396083E-2</v>
      </c>
      <c r="O137">
        <f t="shared" si="21"/>
        <v>2.9987805422134736E-2</v>
      </c>
      <c r="P137">
        <f t="shared" si="22"/>
        <v>3.3231515085747183E-2</v>
      </c>
    </row>
    <row r="138" spans="1:16" x14ac:dyDescent="0.25">
      <c r="A138" s="2">
        <v>40010</v>
      </c>
      <c r="B138">
        <v>6.3704410000000001E-3</v>
      </c>
      <c r="C138">
        <v>1.0105513999999999E-2</v>
      </c>
      <c r="D138">
        <v>8.604637E-3</v>
      </c>
      <c r="E138">
        <v>5.8165400000000003E-3</v>
      </c>
      <c r="F138">
        <v>3.5138930000000001E-3</v>
      </c>
      <c r="G138">
        <v>8.0490790000000006E-3</v>
      </c>
      <c r="H138">
        <v>1.203328E-2</v>
      </c>
      <c r="I138">
        <v>4.6218839999999997E-3</v>
      </c>
      <c r="J138">
        <v>6.0221859999999997E-3</v>
      </c>
      <c r="K138">
        <v>1.0105513999999999E-2</v>
      </c>
      <c r="L138">
        <f t="shared" si="18"/>
        <v>8.2922105220390539E-3</v>
      </c>
      <c r="M138">
        <f t="shared" si="19"/>
        <v>6.1582540914889832E-3</v>
      </c>
      <c r="N138">
        <f t="shared" si="20"/>
        <v>8.3660901536282313E-3</v>
      </c>
      <c r="O138">
        <f t="shared" si="21"/>
        <v>8.7134776285275363E-3</v>
      </c>
      <c r="P138">
        <f t="shared" si="22"/>
        <v>7.9647956234106324E-3</v>
      </c>
    </row>
    <row r="139" spans="1:16" x14ac:dyDescent="0.25">
      <c r="A139" s="2">
        <v>40011</v>
      </c>
      <c r="B139">
        <v>-1.1323603999999999E-2</v>
      </c>
      <c r="C139">
        <v>-9.2819589999999993E-3</v>
      </c>
      <c r="D139">
        <v>-3.8275100000000002E-4</v>
      </c>
      <c r="E139">
        <v>4.2695060000000002E-3</v>
      </c>
      <c r="F139">
        <v>6.1710250000000001E-3</v>
      </c>
      <c r="G139">
        <v>5.4601440000000001E-3</v>
      </c>
      <c r="H139">
        <v>2.961825E-3</v>
      </c>
      <c r="I139">
        <v>6.3932090000000004E-3</v>
      </c>
      <c r="J139">
        <v>1.0282347000000001E-2</v>
      </c>
      <c r="K139">
        <v>-9.2819589999999993E-3</v>
      </c>
      <c r="L139">
        <f t="shared" si="18"/>
        <v>1.4487490184966983E-2</v>
      </c>
      <c r="M139">
        <f t="shared" si="19"/>
        <v>5.391331226390671E-3</v>
      </c>
      <c r="N139">
        <f t="shared" si="20"/>
        <v>1.2712143171464962E-2</v>
      </c>
      <c r="O139">
        <f t="shared" si="21"/>
        <v>9.4732740307644191E-3</v>
      </c>
      <c r="P139">
        <f t="shared" si="22"/>
        <v>1.4365114641173932E-2</v>
      </c>
    </row>
    <row r="140" spans="1:16" x14ac:dyDescent="0.25">
      <c r="A140" s="2">
        <v>40014</v>
      </c>
      <c r="B140">
        <v>1.3780465E-2</v>
      </c>
      <c r="C140">
        <v>2.4767693E-2</v>
      </c>
      <c r="D140">
        <v>1.1366703000000001E-2</v>
      </c>
      <c r="E140">
        <v>1.034125E-2</v>
      </c>
      <c r="F140">
        <v>1.2409018000000001E-2</v>
      </c>
      <c r="G140">
        <v>2.6955527E-2</v>
      </c>
      <c r="H140">
        <v>2.0584796999999998E-2</v>
      </c>
      <c r="I140">
        <v>1.0856958999999999E-2</v>
      </c>
      <c r="J140">
        <v>2.3092409000000001E-2</v>
      </c>
      <c r="K140">
        <v>2.4767693E-2</v>
      </c>
      <c r="L140">
        <f t="shared" si="18"/>
        <v>2.6416120579272232E-2</v>
      </c>
      <c r="M140">
        <f t="shared" si="19"/>
        <v>1.1949775820472576E-2</v>
      </c>
      <c r="N140">
        <f t="shared" si="20"/>
        <v>2.6044075909279221E-2</v>
      </c>
      <c r="O140">
        <f t="shared" si="21"/>
        <v>2.2656298162464512E-2</v>
      </c>
      <c r="P140">
        <f t="shared" si="22"/>
        <v>2.7567927959468316E-2</v>
      </c>
    </row>
    <row r="141" spans="1:16" x14ac:dyDescent="0.25">
      <c r="A141" s="2">
        <v>40015</v>
      </c>
      <c r="B141">
        <v>-6.3571269999999997E-3</v>
      </c>
      <c r="C141">
        <v>-5.4202510000000001E-3</v>
      </c>
      <c r="D141">
        <v>3.6207019999999999E-3</v>
      </c>
      <c r="E141">
        <v>1.2607683E-2</v>
      </c>
      <c r="F141">
        <v>8.4260089999999999E-3</v>
      </c>
      <c r="G141">
        <v>0</v>
      </c>
      <c r="H141">
        <v>1.4851160000000001E-3</v>
      </c>
      <c r="I141">
        <v>7.9087399999999992E-3</v>
      </c>
      <c r="J141">
        <v>1.526131E-3</v>
      </c>
      <c r="K141">
        <v>-5.4202510000000001E-3</v>
      </c>
      <c r="L141">
        <f t="shared" si="18"/>
        <v>6.1473290715509995E-3</v>
      </c>
      <c r="M141">
        <f t="shared" si="19"/>
        <v>5.4795617848387799E-3</v>
      </c>
      <c r="N141">
        <f t="shared" si="20"/>
        <v>6.7075410263152139E-3</v>
      </c>
      <c r="O141">
        <f t="shared" si="21"/>
        <v>7.731681905787509E-3</v>
      </c>
      <c r="P141">
        <f t="shared" si="22"/>
        <v>6.9288672602950772E-3</v>
      </c>
    </row>
    <row r="142" spans="1:16" x14ac:dyDescent="0.25">
      <c r="A142" s="2">
        <v>40016</v>
      </c>
      <c r="B142">
        <v>4.7584719999999997E-3</v>
      </c>
      <c r="C142">
        <v>9.434319E-3</v>
      </c>
      <c r="D142">
        <v>-5.3440900000000001E-4</v>
      </c>
      <c r="E142">
        <v>5.4015929999999997E-3</v>
      </c>
      <c r="F142">
        <v>2.7855480000000001E-3</v>
      </c>
      <c r="G142">
        <v>7.3434490000000002E-3</v>
      </c>
      <c r="H142">
        <v>-3.0289660000000001E-3</v>
      </c>
      <c r="I142">
        <v>2.7572249999999999E-3</v>
      </c>
      <c r="J142">
        <v>-4.7101160000000003E-3</v>
      </c>
      <c r="K142">
        <v>9.434319E-3</v>
      </c>
      <c r="L142">
        <f t="shared" si="18"/>
        <v>-1.0465469229263735E-3</v>
      </c>
      <c r="M142">
        <f t="shared" si="19"/>
        <v>3.1011969231399205E-3</v>
      </c>
      <c r="N142">
        <f t="shared" si="20"/>
        <v>1.6401101010947786E-4</v>
      </c>
      <c r="O142">
        <f t="shared" si="21"/>
        <v>3.223310457616447E-3</v>
      </c>
      <c r="P142">
        <f t="shared" si="22"/>
        <v>-5.8307828309316946E-4</v>
      </c>
    </row>
    <row r="143" spans="1:16" x14ac:dyDescent="0.25">
      <c r="A143" s="2">
        <v>40017</v>
      </c>
      <c r="B143">
        <v>1.8495280999999999E-2</v>
      </c>
      <c r="C143">
        <v>2.7708479000000001E-2</v>
      </c>
      <c r="D143">
        <v>2.3022628999999999E-2</v>
      </c>
      <c r="E143">
        <v>2.4250766999999999E-2</v>
      </c>
      <c r="F143">
        <v>1.4602347E-2</v>
      </c>
      <c r="G143">
        <v>7.1510489999999996E-3</v>
      </c>
      <c r="H143">
        <v>2.1916234999999999E-2</v>
      </c>
      <c r="I143">
        <v>1.8131092000000001E-2</v>
      </c>
      <c r="J143">
        <v>1.6398625999999999E-2</v>
      </c>
      <c r="K143">
        <v>2.7708479000000001E-2</v>
      </c>
      <c r="L143">
        <f t="shared" si="18"/>
        <v>2.5617126150461168E-2</v>
      </c>
      <c r="M143">
        <f t="shared" si="19"/>
        <v>1.2967953272858679E-2</v>
      </c>
      <c r="N143">
        <f t="shared" si="20"/>
        <v>2.3151912207559307E-2</v>
      </c>
      <c r="O143">
        <f t="shared" si="21"/>
        <v>2.1739488573102379E-2</v>
      </c>
      <c r="P143">
        <f t="shared" si="22"/>
        <v>2.4541914142695836E-2</v>
      </c>
    </row>
    <row r="144" spans="1:16" x14ac:dyDescent="0.25">
      <c r="A144" s="2">
        <v>40018</v>
      </c>
      <c r="B144">
        <v>1.2603659E-2</v>
      </c>
      <c r="C144">
        <v>1.469961E-2</v>
      </c>
      <c r="D144">
        <v>3.0375110000000001E-3</v>
      </c>
      <c r="E144">
        <v>-3.4209470000000001E-3</v>
      </c>
      <c r="F144">
        <v>3.677601E-3</v>
      </c>
      <c r="G144">
        <v>1.5362944999999999E-2</v>
      </c>
      <c r="H144">
        <v>3.8268400000000002E-3</v>
      </c>
      <c r="I144">
        <v>4.7729700000000001E-4</v>
      </c>
      <c r="J144">
        <v>3.7121469999999998E-3</v>
      </c>
      <c r="K144">
        <v>1.469961E-2</v>
      </c>
      <c r="L144">
        <f t="shared" si="18"/>
        <v>4.4290327131446035E-3</v>
      </c>
      <c r="M144">
        <f t="shared" si="19"/>
        <v>4.1970596579848059E-3</v>
      </c>
      <c r="N144">
        <f t="shared" si="20"/>
        <v>5.4873228645689965E-3</v>
      </c>
      <c r="O144">
        <f t="shared" si="21"/>
        <v>6.1629753598381994E-3</v>
      </c>
      <c r="P144">
        <f t="shared" si="22"/>
        <v>5.8475017153320017E-3</v>
      </c>
    </row>
    <row r="145" spans="1:16" x14ac:dyDescent="0.25">
      <c r="A145" s="2">
        <v>40021</v>
      </c>
      <c r="B145">
        <v>1.1235934E-2</v>
      </c>
      <c r="C145">
        <v>1.5375231E-2</v>
      </c>
      <c r="D145">
        <v>2.9774070000000001E-3</v>
      </c>
      <c r="E145">
        <v>4.2343709999999998E-3</v>
      </c>
      <c r="F145">
        <v>2.0736249999999999E-3</v>
      </c>
      <c r="G145">
        <v>1.4387357999999999E-2</v>
      </c>
      <c r="H145">
        <v>1.6879810000000001E-3</v>
      </c>
      <c r="I145">
        <v>3.5899009999999999E-3</v>
      </c>
      <c r="J145">
        <v>9.279397E-3</v>
      </c>
      <c r="K145">
        <v>1.5375231E-2</v>
      </c>
      <c r="L145">
        <f t="shared" si="18"/>
        <v>1.3726409138013724E-2</v>
      </c>
      <c r="M145">
        <f t="shared" si="19"/>
        <v>5.492644406415741E-3</v>
      </c>
      <c r="N145">
        <f t="shared" si="20"/>
        <v>1.1529509383255167E-2</v>
      </c>
      <c r="O145">
        <f t="shared" si="21"/>
        <v>9.898541446191721E-3</v>
      </c>
      <c r="P145">
        <f t="shared" si="22"/>
        <v>1.3206257329904908E-2</v>
      </c>
    </row>
    <row r="146" spans="1:16" x14ac:dyDescent="0.25">
      <c r="A146" s="2">
        <v>40022</v>
      </c>
      <c r="B146">
        <v>4.0362180000000003E-3</v>
      </c>
      <c r="C146">
        <v>8.3960049999999998E-3</v>
      </c>
      <c r="D146">
        <v>-2.6098499999999999E-3</v>
      </c>
      <c r="E146">
        <v>-1.4734175E-2</v>
      </c>
      <c r="F146">
        <v>-1.2572986E-2</v>
      </c>
      <c r="G146">
        <v>-1.3877900000000001E-4</v>
      </c>
      <c r="H146">
        <v>-1.412572E-3</v>
      </c>
      <c r="I146">
        <v>-9.7142930000000006E-3</v>
      </c>
      <c r="J146">
        <v>3.4953229999999998E-3</v>
      </c>
      <c r="K146">
        <v>8.3960049999999998E-3</v>
      </c>
      <c r="L146">
        <f t="shared" si="18"/>
        <v>1.3910672352965944E-3</v>
      </c>
      <c r="M146">
        <f t="shared" si="19"/>
        <v>-1.3535031301748456E-3</v>
      </c>
      <c r="N146">
        <f t="shared" si="20"/>
        <v>-1.7193092069059663E-3</v>
      </c>
      <c r="O146">
        <f t="shared" si="21"/>
        <v>-4.4564016940418115E-3</v>
      </c>
      <c r="P146">
        <f t="shared" si="22"/>
        <v>-7.3169507363577422E-4</v>
      </c>
    </row>
    <row r="147" spans="1:16" x14ac:dyDescent="0.25">
      <c r="A147" s="2">
        <v>40023</v>
      </c>
      <c r="B147">
        <v>9.3306970000000006E-3</v>
      </c>
      <c r="C147">
        <v>-4.5306099999999999E-4</v>
      </c>
      <c r="D147">
        <v>-4.5734360000000002E-3</v>
      </c>
      <c r="E147">
        <v>1.8301985E-2</v>
      </c>
      <c r="F147">
        <v>4.1206280000000003E-3</v>
      </c>
      <c r="G147">
        <v>2.5722150000000001E-3</v>
      </c>
      <c r="H147">
        <v>-1.3622250000000001E-2</v>
      </c>
      <c r="I147">
        <v>6.7905800000000001E-3</v>
      </c>
      <c r="J147">
        <v>-1.3102374999999999E-2</v>
      </c>
      <c r="K147">
        <v>-4.5306099999999999E-4</v>
      </c>
      <c r="L147">
        <f t="shared" si="18"/>
        <v>-4.877643242266156E-3</v>
      </c>
      <c r="M147">
        <f t="shared" si="19"/>
        <v>2.7627245687613204E-3</v>
      </c>
      <c r="N147">
        <f t="shared" si="20"/>
        <v>-3.5192142414470487E-3</v>
      </c>
      <c r="O147">
        <f t="shared" si="21"/>
        <v>2.3870978239315241E-3</v>
      </c>
      <c r="P147">
        <f t="shared" si="22"/>
        <v>-4.8609253975207198E-3</v>
      </c>
    </row>
    <row r="148" spans="1:16" x14ac:dyDescent="0.25">
      <c r="A148" s="2">
        <v>40024</v>
      </c>
      <c r="B148">
        <v>4.3744798000000001E-2</v>
      </c>
      <c r="C148">
        <v>4.5637329999999997E-2</v>
      </c>
      <c r="D148">
        <v>1.1825409E-2</v>
      </c>
      <c r="E148">
        <v>1.6996020000000001E-2</v>
      </c>
      <c r="F148">
        <v>1.8324749000000001E-2</v>
      </c>
      <c r="G148">
        <v>5.1256499999999998E-3</v>
      </c>
      <c r="H148">
        <v>1.3732392E-2</v>
      </c>
      <c r="I148">
        <v>2.0259518000000001E-2</v>
      </c>
      <c r="J148">
        <v>1.0000403999999999E-2</v>
      </c>
      <c r="K148">
        <v>4.5637329999999997E-2</v>
      </c>
      <c r="L148">
        <f t="shared" si="18"/>
        <v>2.1624201278585213E-2</v>
      </c>
      <c r="M148">
        <f t="shared" si="19"/>
        <v>1.0632305241639654E-2</v>
      </c>
      <c r="N148">
        <f t="shared" si="20"/>
        <v>1.9554977490671019E-2</v>
      </c>
      <c r="O148">
        <f t="shared" si="21"/>
        <v>1.7778597948078078E-2</v>
      </c>
      <c r="P148">
        <f t="shared" si="22"/>
        <v>2.0774425427233702E-2</v>
      </c>
    </row>
    <row r="149" spans="1:16" x14ac:dyDescent="0.25">
      <c r="A149" s="2">
        <v>40025</v>
      </c>
      <c r="B149">
        <v>1.0826132E-2</v>
      </c>
      <c r="C149">
        <v>1.6193889E-2</v>
      </c>
      <c r="D149">
        <v>7.3952899999999995E-4</v>
      </c>
      <c r="E149">
        <v>-5.3344430000000003E-3</v>
      </c>
      <c r="F149">
        <v>-5.0216560000000002E-3</v>
      </c>
      <c r="G149">
        <v>1.8675099000000001E-2</v>
      </c>
      <c r="H149">
        <v>5.2726129999999998E-3</v>
      </c>
      <c r="I149">
        <v>-2.4008190000000002E-3</v>
      </c>
      <c r="J149">
        <v>1.0755726E-2</v>
      </c>
      <c r="K149">
        <v>1.6193889E-2</v>
      </c>
      <c r="L149">
        <f t="shared" si="18"/>
        <v>1.182342936231893E-2</v>
      </c>
      <c r="M149">
        <f t="shared" si="19"/>
        <v>3.8734328877287963E-3</v>
      </c>
      <c r="N149">
        <f t="shared" si="20"/>
        <v>9.4149443415671892E-3</v>
      </c>
      <c r="O149">
        <f t="shared" si="21"/>
        <v>6.9303186798559359E-3</v>
      </c>
      <c r="P149">
        <f t="shared" si="22"/>
        <v>1.0430231181943415E-2</v>
      </c>
    </row>
    <row r="150" spans="1:16" x14ac:dyDescent="0.25">
      <c r="A150" s="2">
        <v>40028</v>
      </c>
      <c r="B150">
        <v>4.5219554000000002E-2</v>
      </c>
      <c r="C150">
        <v>5.0339385E-2</v>
      </c>
      <c r="D150">
        <v>1.5225583000000001E-2</v>
      </c>
      <c r="E150">
        <v>1.7606197000000001E-2</v>
      </c>
      <c r="F150">
        <v>1.5951429999999999E-2</v>
      </c>
      <c r="G150">
        <v>-4.2106700000000001E-4</v>
      </c>
      <c r="H150">
        <v>2.2246412E-2</v>
      </c>
      <c r="I150">
        <v>1.3411189E-2</v>
      </c>
      <c r="J150">
        <v>1.6159052E-2</v>
      </c>
      <c r="K150">
        <v>5.0339385E-2</v>
      </c>
      <c r="L150">
        <f t="shared" si="18"/>
        <v>1.8214315325869448E-2</v>
      </c>
      <c r="M150">
        <f t="shared" si="19"/>
        <v>1.0815046430568652E-2</v>
      </c>
      <c r="N150">
        <f t="shared" si="20"/>
        <v>1.9399349342359547E-2</v>
      </c>
      <c r="O150">
        <f t="shared" si="21"/>
        <v>1.735718296142838E-2</v>
      </c>
      <c r="P150">
        <f t="shared" si="22"/>
        <v>1.9881106372858625E-2</v>
      </c>
    </row>
    <row r="151" spans="1:16" x14ac:dyDescent="0.25">
      <c r="A151" s="2">
        <v>40029</v>
      </c>
      <c r="B151">
        <v>1.853539E-3</v>
      </c>
      <c r="C151">
        <v>5.901211E-3</v>
      </c>
      <c r="D151">
        <v>3.0075509999999998E-3</v>
      </c>
      <c r="E151">
        <v>-1.813006E-3</v>
      </c>
      <c r="F151">
        <v>-2.373343E-3</v>
      </c>
      <c r="G151">
        <v>2.174891E-3</v>
      </c>
      <c r="H151">
        <v>7.1405600000000002E-4</v>
      </c>
      <c r="I151">
        <v>-2.5552349999999999E-3</v>
      </c>
      <c r="J151">
        <v>-3.348635E-3</v>
      </c>
      <c r="K151">
        <v>5.901211E-3</v>
      </c>
      <c r="L151">
        <f t="shared" si="18"/>
        <v>-3.2656235296357789E-3</v>
      </c>
      <c r="M151">
        <f t="shared" si="19"/>
        <v>1.6042224636182586E-3</v>
      </c>
      <c r="N151">
        <f t="shared" si="20"/>
        <v>-2.576503947487774E-3</v>
      </c>
      <c r="O151">
        <f t="shared" si="21"/>
        <v>-4.0717714923543618E-4</v>
      </c>
      <c r="P151">
        <f t="shared" si="22"/>
        <v>-3.1810051759989873E-3</v>
      </c>
    </row>
    <row r="152" spans="1:16" x14ac:dyDescent="0.25">
      <c r="A152" s="2">
        <v>40030</v>
      </c>
      <c r="B152">
        <v>-1.7993859000000001E-2</v>
      </c>
      <c r="C152">
        <v>-1.6477754000000001E-2</v>
      </c>
      <c r="D152">
        <v>-2.9177909999999999E-3</v>
      </c>
      <c r="E152">
        <v>-1.1886829E-2</v>
      </c>
      <c r="F152">
        <v>-5.2154430000000002E-3</v>
      </c>
      <c r="G152">
        <v>-1.1875526000000001E-2</v>
      </c>
      <c r="H152">
        <v>6.1553980000000003E-3</v>
      </c>
      <c r="I152">
        <v>-6.1866669999999999E-3</v>
      </c>
      <c r="J152">
        <v>-4.8601920000000002E-3</v>
      </c>
      <c r="K152">
        <v>-1.6477754000000001E-2</v>
      </c>
      <c r="L152">
        <f t="shared" si="18"/>
        <v>-9.658468447839701E-3</v>
      </c>
      <c r="M152">
        <f t="shared" si="19"/>
        <v>-1.3139102140768016E-3</v>
      </c>
      <c r="N152">
        <f t="shared" si="20"/>
        <v>-7.7879563666934165E-3</v>
      </c>
      <c r="O152">
        <f t="shared" si="21"/>
        <v>-7.3641349363137423E-3</v>
      </c>
      <c r="P152">
        <f t="shared" si="22"/>
        <v>-9.8738190033424069E-3</v>
      </c>
    </row>
    <row r="153" spans="1:16" x14ac:dyDescent="0.25">
      <c r="A153" s="2">
        <v>40031</v>
      </c>
      <c r="B153">
        <v>-1.4454820000000001E-3</v>
      </c>
      <c r="C153">
        <v>-7.0755150000000001E-3</v>
      </c>
      <c r="D153">
        <v>-5.6405789999999997E-3</v>
      </c>
      <c r="E153">
        <v>3.1651650000000002E-3</v>
      </c>
      <c r="F153">
        <v>9.2958169999999996E-3</v>
      </c>
      <c r="G153">
        <v>1.3135453E-2</v>
      </c>
      <c r="H153">
        <v>-1.1218338E-2</v>
      </c>
      <c r="I153">
        <v>7.1419040000000001E-3</v>
      </c>
      <c r="J153">
        <v>1.624173E-3</v>
      </c>
      <c r="K153">
        <v>-7.0755150000000001E-3</v>
      </c>
      <c r="L153">
        <f t="shared" si="18"/>
        <v>9.4277685416759831E-3</v>
      </c>
      <c r="M153">
        <f t="shared" si="19"/>
        <v>4.0244611899931488E-3</v>
      </c>
      <c r="N153">
        <f t="shared" si="20"/>
        <v>8.3139381696333836E-3</v>
      </c>
      <c r="O153">
        <f t="shared" si="21"/>
        <v>7.7846169067615359E-3</v>
      </c>
      <c r="P153">
        <f t="shared" si="22"/>
        <v>1.0525846921362065E-2</v>
      </c>
    </row>
    <row r="154" spans="1:16" x14ac:dyDescent="0.25">
      <c r="A154" s="2">
        <v>40032</v>
      </c>
      <c r="B154">
        <v>2.1028135E-2</v>
      </c>
      <c r="C154">
        <v>1.2236363E-2</v>
      </c>
      <c r="D154">
        <v>1.3349737E-2</v>
      </c>
      <c r="E154">
        <v>1.6434111000000001E-2</v>
      </c>
      <c r="F154">
        <v>8.7242250000000004E-3</v>
      </c>
      <c r="G154">
        <v>2.3076730000000001E-3</v>
      </c>
      <c r="H154">
        <v>1.0260160000000001E-2</v>
      </c>
      <c r="I154">
        <v>1.108049E-2</v>
      </c>
      <c r="J154">
        <v>-2.6214739999999999E-3</v>
      </c>
      <c r="K154">
        <v>1.2236363E-2</v>
      </c>
      <c r="L154">
        <f t="shared" si="18"/>
        <v>4.3362638966230656E-3</v>
      </c>
      <c r="M154">
        <f t="shared" si="19"/>
        <v>7.241581009539623E-3</v>
      </c>
      <c r="N154">
        <f t="shared" si="20"/>
        <v>5.1340491223039221E-3</v>
      </c>
      <c r="O154">
        <f t="shared" si="21"/>
        <v>9.040342011318564E-3</v>
      </c>
      <c r="P154">
        <f t="shared" si="22"/>
        <v>3.8107609374690952E-3</v>
      </c>
    </row>
    <row r="155" spans="1:16" x14ac:dyDescent="0.25">
      <c r="A155" s="2">
        <v>40035</v>
      </c>
      <c r="B155">
        <v>-1.832467E-3</v>
      </c>
      <c r="C155">
        <v>4.289841E-3</v>
      </c>
      <c r="D155">
        <v>-3.3505520000000001E-3</v>
      </c>
      <c r="E155">
        <v>-7.5094039999999999E-3</v>
      </c>
      <c r="F155">
        <v>-1.9886190000000001E-3</v>
      </c>
      <c r="G155">
        <v>1.0715437E-2</v>
      </c>
      <c r="H155">
        <v>8.8371019999999995E-3</v>
      </c>
      <c r="I155">
        <v>-3.1772430000000002E-3</v>
      </c>
      <c r="J155">
        <v>4.1962700000000002E-3</v>
      </c>
      <c r="K155">
        <v>4.289841E-3</v>
      </c>
      <c r="L155">
        <f t="shared" si="18"/>
        <v>1.0940823768959902E-3</v>
      </c>
      <c r="M155">
        <f t="shared" si="19"/>
        <v>2.5363865028436854E-3</v>
      </c>
      <c r="N155">
        <f t="shared" si="20"/>
        <v>2.9125497321980608E-3</v>
      </c>
      <c r="O155">
        <f t="shared" si="21"/>
        <v>2.5222588408588707E-3</v>
      </c>
      <c r="P155">
        <f t="shared" si="22"/>
        <v>1.503738611719675E-3</v>
      </c>
    </row>
    <row r="156" spans="1:16" x14ac:dyDescent="0.25">
      <c r="A156" s="2">
        <v>40036</v>
      </c>
      <c r="B156">
        <v>-2.2784769999999999E-2</v>
      </c>
      <c r="C156">
        <v>-3.6549775999999999E-2</v>
      </c>
      <c r="D156">
        <v>-1.2740935E-2</v>
      </c>
      <c r="E156">
        <v>-2.4723019999999998E-2</v>
      </c>
      <c r="F156">
        <v>-1.0837387E-2</v>
      </c>
      <c r="G156">
        <v>5.7982930000000004E-3</v>
      </c>
      <c r="H156">
        <v>-1.8989655000000001E-2</v>
      </c>
      <c r="I156">
        <v>-1.3443727000000001E-2</v>
      </c>
      <c r="J156">
        <v>-6.1165710000000003E-3</v>
      </c>
      <c r="K156">
        <v>-3.6549775999999999E-2</v>
      </c>
      <c r="L156">
        <f t="shared" si="18"/>
        <v>-7.8091568371166601E-3</v>
      </c>
      <c r="M156">
        <f t="shared" si="19"/>
        <v>-5.0018776089544269E-3</v>
      </c>
      <c r="N156">
        <f t="shared" si="20"/>
        <v>-9.4265752385655696E-3</v>
      </c>
      <c r="O156">
        <f t="shared" si="21"/>
        <v>-1.018299015640033E-2</v>
      </c>
      <c r="P156">
        <f t="shared" si="22"/>
        <v>-7.6456175511566884E-3</v>
      </c>
    </row>
    <row r="157" spans="1:16" x14ac:dyDescent="0.25">
      <c r="A157" s="2">
        <v>40037</v>
      </c>
      <c r="B157">
        <v>4.813828E-3</v>
      </c>
      <c r="C157">
        <v>-4.3677400000000002E-3</v>
      </c>
      <c r="D157">
        <v>1.1459209E-2</v>
      </c>
      <c r="E157">
        <v>1.2087512E-2</v>
      </c>
      <c r="F157">
        <v>9.6931980000000001E-3</v>
      </c>
      <c r="G157">
        <v>-1.4315820999999999E-2</v>
      </c>
      <c r="H157">
        <v>1.4722248E-2</v>
      </c>
      <c r="I157">
        <v>1.0512515E-2</v>
      </c>
      <c r="J157">
        <v>-6.3977620000000004E-3</v>
      </c>
      <c r="K157">
        <v>-4.3677400000000002E-3</v>
      </c>
      <c r="L157">
        <f t="shared" si="18"/>
        <v>-2.5621833612598905E-3</v>
      </c>
      <c r="M157">
        <f t="shared" si="19"/>
        <v>5.3258536461179128E-3</v>
      </c>
      <c r="N157">
        <f t="shared" si="20"/>
        <v>-1.7676416066008315E-4</v>
      </c>
      <c r="O157">
        <f t="shared" si="21"/>
        <v>3.383511963449856E-3</v>
      </c>
      <c r="P157">
        <f t="shared" si="22"/>
        <v>-2.8239340879273388E-3</v>
      </c>
    </row>
    <row r="158" spans="1:16" x14ac:dyDescent="0.25">
      <c r="A158" s="2">
        <v>40038</v>
      </c>
      <c r="B158">
        <v>1.3453936999999999E-2</v>
      </c>
      <c r="C158">
        <v>3.3335746999999999E-2</v>
      </c>
      <c r="D158">
        <v>6.8564680000000001E-3</v>
      </c>
      <c r="E158">
        <v>9.4911049999999997E-3</v>
      </c>
      <c r="F158">
        <v>8.1712390000000003E-3</v>
      </c>
      <c r="G158">
        <v>7.8455209999999994E-3</v>
      </c>
      <c r="H158">
        <v>8.0960700000000003E-3</v>
      </c>
      <c r="I158">
        <v>7.8720830000000002E-3</v>
      </c>
      <c r="J158">
        <v>1.3275554E-2</v>
      </c>
      <c r="K158">
        <v>3.3335746999999999E-2</v>
      </c>
      <c r="L158">
        <f t="shared" si="18"/>
        <v>1.722479043210097E-2</v>
      </c>
      <c r="M158">
        <f t="shared" si="19"/>
        <v>7.5744240223380738E-3</v>
      </c>
      <c r="N158">
        <f t="shared" si="20"/>
        <v>1.5842374444643911E-2</v>
      </c>
      <c r="O158">
        <f t="shared" si="21"/>
        <v>1.3254846603034743E-2</v>
      </c>
      <c r="P158">
        <f t="shared" si="22"/>
        <v>1.7623128369227744E-2</v>
      </c>
    </row>
    <row r="159" spans="1:16" x14ac:dyDescent="0.25">
      <c r="A159" s="2">
        <v>40039</v>
      </c>
      <c r="B159">
        <v>-4.0841549999999999E-3</v>
      </c>
      <c r="C159">
        <v>-7.1422769999999998E-3</v>
      </c>
      <c r="D159">
        <v>-8.5679959999999996E-3</v>
      </c>
      <c r="E159">
        <v>-1.7180274999999998E-2</v>
      </c>
      <c r="F159">
        <v>-8.7650379999999993E-3</v>
      </c>
      <c r="G159">
        <v>7.5910209999999999E-3</v>
      </c>
      <c r="H159">
        <v>-7.212881E-3</v>
      </c>
      <c r="I159">
        <v>-8.3248709999999993E-3</v>
      </c>
      <c r="J159">
        <v>-1.4268939999999999E-3</v>
      </c>
      <c r="K159">
        <v>-7.1422769999999998E-3</v>
      </c>
      <c r="L159">
        <f t="shared" si="18"/>
        <v>-2.0073898915657982E-3</v>
      </c>
      <c r="M159">
        <f t="shared" si="19"/>
        <v>-1.8289104109524266E-3</v>
      </c>
      <c r="N159">
        <f t="shared" si="20"/>
        <v>-3.5704508682067948E-3</v>
      </c>
      <c r="O159">
        <f t="shared" si="21"/>
        <v>-4.7404739696241894E-3</v>
      </c>
      <c r="P159">
        <f t="shared" si="22"/>
        <v>-2.9792918818848505E-3</v>
      </c>
    </row>
    <row r="160" spans="1:16" x14ac:dyDescent="0.25">
      <c r="A160" s="2">
        <v>40042</v>
      </c>
      <c r="B160">
        <v>-2.7135100000000002E-4</v>
      </c>
      <c r="C160">
        <v>-1.7895879E-2</v>
      </c>
      <c r="D160">
        <v>-2.4559913999999999E-2</v>
      </c>
      <c r="E160">
        <v>-2.0456019999999998E-2</v>
      </c>
      <c r="F160">
        <v>-1.4745431999999999E-2</v>
      </c>
      <c r="G160">
        <v>-3.1510413000000001E-2</v>
      </c>
      <c r="H160">
        <v>-2.5391151000000001E-2</v>
      </c>
      <c r="I160">
        <v>-1.9253269999999999E-2</v>
      </c>
      <c r="J160">
        <v>-2.9772409999999999E-2</v>
      </c>
      <c r="K160">
        <v>-1.7895879E-2</v>
      </c>
      <c r="L160">
        <f t="shared" si="18"/>
        <v>-3.8992218600422797E-2</v>
      </c>
      <c r="M160">
        <f t="shared" si="19"/>
        <v>-1.1934338926055841E-2</v>
      </c>
      <c r="N160">
        <f t="shared" si="20"/>
        <v>-3.380517758353499E-2</v>
      </c>
      <c r="O160">
        <f t="shared" si="21"/>
        <v>-2.8419177835663823E-2</v>
      </c>
      <c r="P160">
        <f t="shared" si="22"/>
        <v>-3.7325693992600904E-2</v>
      </c>
    </row>
    <row r="161" spans="1:16" x14ac:dyDescent="0.25">
      <c r="A161" s="2">
        <v>40043</v>
      </c>
      <c r="B161">
        <v>-1.299983E-3</v>
      </c>
      <c r="C161">
        <v>6.3286760000000001E-3</v>
      </c>
      <c r="D161">
        <v>1.0094531E-2</v>
      </c>
      <c r="E161">
        <v>9.4008259999999993E-3</v>
      </c>
      <c r="F161">
        <v>8.7452869999999992E-3</v>
      </c>
      <c r="G161">
        <v>1.590965E-3</v>
      </c>
      <c r="H161">
        <v>9.5704859999999996E-3</v>
      </c>
      <c r="I161">
        <v>9.6418849999999993E-3</v>
      </c>
      <c r="J161">
        <v>2.853029E-3</v>
      </c>
      <c r="K161">
        <v>6.3286760000000001E-3</v>
      </c>
      <c r="L161">
        <f t="shared" si="18"/>
        <v>8.62142952090964E-3</v>
      </c>
      <c r="M161">
        <f t="shared" si="19"/>
        <v>6.5845441771032152E-3</v>
      </c>
      <c r="N161">
        <f t="shared" si="20"/>
        <v>8.2482303336448154E-3</v>
      </c>
      <c r="O161">
        <f t="shared" si="21"/>
        <v>8.9582882051288792E-3</v>
      </c>
      <c r="P161">
        <f t="shared" si="22"/>
        <v>8.2749588550719896E-3</v>
      </c>
    </row>
    <row r="162" spans="1:16" x14ac:dyDescent="0.25">
      <c r="A162" s="2">
        <v>40044</v>
      </c>
      <c r="B162">
        <v>3.1414815999999998E-2</v>
      </c>
      <c r="C162">
        <v>2.7861466000000001E-2</v>
      </c>
      <c r="D162">
        <v>6.8374439999999998E-3</v>
      </c>
      <c r="E162">
        <v>-3.5792279999999998E-3</v>
      </c>
      <c r="F162">
        <v>8.3195600000000001E-4</v>
      </c>
      <c r="G162">
        <v>-7.9028339999999992E-3</v>
      </c>
      <c r="H162">
        <v>7.2740590000000003E-3</v>
      </c>
      <c r="I162" s="1">
        <v>-4.2117399999999998E-5</v>
      </c>
      <c r="J162">
        <v>-3.3500040000000002E-3</v>
      </c>
      <c r="K162">
        <v>2.7861466000000001E-2</v>
      </c>
      <c r="L162">
        <f t="shared" si="18"/>
        <v>-3.5526188821845286E-3</v>
      </c>
      <c r="M162">
        <f t="shared" si="19"/>
        <v>1.8613354327837812E-3</v>
      </c>
      <c r="N162">
        <f t="shared" si="20"/>
        <v>-2.7445755795871135E-3</v>
      </c>
      <c r="O162">
        <f t="shared" si="21"/>
        <v>-1.3793103404001565E-3</v>
      </c>
      <c r="P162">
        <f t="shared" si="22"/>
        <v>-3.6203895776407056E-3</v>
      </c>
    </row>
    <row r="163" spans="1:16" x14ac:dyDescent="0.25">
      <c r="A163" s="2">
        <v>40045</v>
      </c>
      <c r="B163">
        <v>1.9757305999999999E-2</v>
      </c>
      <c r="C163">
        <v>2.6608013999999999E-2</v>
      </c>
      <c r="D163">
        <v>1.0889255E-2</v>
      </c>
      <c r="E163">
        <v>1.5001647E-2</v>
      </c>
      <c r="F163">
        <v>1.4164513E-2</v>
      </c>
      <c r="G163">
        <v>1.742954E-2</v>
      </c>
      <c r="H163">
        <v>1.1948419E-2</v>
      </c>
      <c r="I163">
        <v>1.4198886000000001E-2</v>
      </c>
      <c r="J163">
        <v>1.3296568E-2</v>
      </c>
      <c r="K163">
        <v>2.6608013999999999E-2</v>
      </c>
      <c r="L163">
        <f t="shared" si="18"/>
        <v>2.115088947522939E-2</v>
      </c>
      <c r="M163">
        <f t="shared" si="19"/>
        <v>1.057267304745802E-2</v>
      </c>
      <c r="N163">
        <f t="shared" si="20"/>
        <v>2.015839007582064E-2</v>
      </c>
      <c r="O163">
        <f t="shared" si="21"/>
        <v>1.8969106735529762E-2</v>
      </c>
      <c r="P163">
        <f t="shared" si="22"/>
        <v>2.159806044799226E-2</v>
      </c>
    </row>
    <row r="164" spans="1:16" x14ac:dyDescent="0.25">
      <c r="A164" s="2">
        <v>40046</v>
      </c>
      <c r="B164">
        <v>1.3108203000000001E-2</v>
      </c>
      <c r="C164">
        <v>1.4660619999999999E-2</v>
      </c>
      <c r="D164">
        <v>1.8451470000000001E-2</v>
      </c>
      <c r="E164">
        <v>2.8159057000000001E-2</v>
      </c>
      <c r="F164">
        <v>1.9631127000000002E-2</v>
      </c>
      <c r="G164">
        <v>-1.4083517E-2</v>
      </c>
      <c r="H164">
        <v>1.5677694999999998E-2</v>
      </c>
      <c r="I164">
        <v>2.3348771000000001E-2</v>
      </c>
      <c r="J164">
        <v>6.8128720000000002E-3</v>
      </c>
      <c r="K164">
        <v>1.4660619999999999E-2</v>
      </c>
      <c r="L164">
        <f t="shared" si="18"/>
        <v>1.9123446719460462E-2</v>
      </c>
      <c r="M164">
        <f t="shared" si="19"/>
        <v>1.0979526606556437E-2</v>
      </c>
      <c r="N164">
        <f t="shared" si="20"/>
        <v>1.6964018377395158E-2</v>
      </c>
      <c r="O164">
        <f t="shared" si="21"/>
        <v>1.6244383318582505E-2</v>
      </c>
      <c r="P164">
        <f t="shared" si="22"/>
        <v>1.7770594323824284E-2</v>
      </c>
    </row>
    <row r="165" spans="1:16" x14ac:dyDescent="0.25">
      <c r="A165" s="2">
        <v>40049</v>
      </c>
      <c r="B165">
        <v>1.2676972999999999E-2</v>
      </c>
      <c r="C165">
        <v>1.6467907E-2</v>
      </c>
      <c r="D165">
        <v>-5.4588900000000003E-4</v>
      </c>
      <c r="E165">
        <v>1.0382074E-2</v>
      </c>
      <c r="F165">
        <v>9.2951389999999991E-3</v>
      </c>
      <c r="G165">
        <v>3.2938842000000003E-2</v>
      </c>
      <c r="H165">
        <v>7.9650900000000004E-4</v>
      </c>
      <c r="I165">
        <v>1.0500577000000001E-2</v>
      </c>
      <c r="J165">
        <v>1.6065598E-2</v>
      </c>
      <c r="K165">
        <v>1.6467907E-2</v>
      </c>
      <c r="L165">
        <f t="shared" si="18"/>
        <v>2.4956361641608416E-2</v>
      </c>
      <c r="M165">
        <f t="shared" si="19"/>
        <v>9.2612423861682634E-3</v>
      </c>
      <c r="N165">
        <f t="shared" si="20"/>
        <v>2.243203110927218E-2</v>
      </c>
      <c r="O165">
        <f t="shared" si="21"/>
        <v>1.9712930809280708E-2</v>
      </c>
      <c r="P165">
        <f t="shared" si="22"/>
        <v>2.501595137681057E-2</v>
      </c>
    </row>
    <row r="166" spans="1:16" x14ac:dyDescent="0.25">
      <c r="A166" s="2">
        <v>40050</v>
      </c>
      <c r="B166">
        <v>6.2914160000000002E-3</v>
      </c>
      <c r="C166">
        <v>-3.2915700000000001E-4</v>
      </c>
      <c r="D166">
        <v>2.3666109999999998E-3</v>
      </c>
      <c r="E166">
        <v>6.742021E-3</v>
      </c>
      <c r="F166">
        <v>4.198518E-3</v>
      </c>
      <c r="G166">
        <v>-7.9408680000000002E-3</v>
      </c>
      <c r="H166">
        <v>-6.1460660000000004E-3</v>
      </c>
      <c r="I166">
        <v>4.9577079999999999E-3</v>
      </c>
      <c r="J166">
        <v>-1.4647E-3</v>
      </c>
      <c r="K166">
        <v>-3.2915700000000001E-4</v>
      </c>
      <c r="L166">
        <f t="shared" si="18"/>
        <v>4.2329496442778114E-3</v>
      </c>
      <c r="M166">
        <f t="shared" si="19"/>
        <v>2.6804899438876068E-3</v>
      </c>
      <c r="N166">
        <f t="shared" si="20"/>
        <v>2.4183572349386557E-3</v>
      </c>
      <c r="O166">
        <f t="shared" si="21"/>
        <v>2.4326066648198107E-3</v>
      </c>
      <c r="P166">
        <f t="shared" si="22"/>
        <v>3.8966090470141444E-3</v>
      </c>
    </row>
    <row r="167" spans="1:16" x14ac:dyDescent="0.25">
      <c r="A167" s="2">
        <v>40051</v>
      </c>
      <c r="B167">
        <v>-2.3435627000000001E-2</v>
      </c>
      <c r="C167">
        <v>-2.6864444000000001E-2</v>
      </c>
      <c r="D167">
        <v>1.16725E-4</v>
      </c>
      <c r="E167">
        <v>-6.3399090000000003E-3</v>
      </c>
      <c r="F167">
        <v>-5.342917E-3</v>
      </c>
      <c r="G167">
        <v>1.3469431E-2</v>
      </c>
      <c r="H167">
        <v>5.9902769999999996E-3</v>
      </c>
      <c r="I167">
        <v>-4.1064769999999999E-3</v>
      </c>
      <c r="J167">
        <v>-1.9992120000000002E-3</v>
      </c>
      <c r="K167">
        <v>-2.6864444000000001E-2</v>
      </c>
      <c r="L167">
        <f t="shared" si="18"/>
        <v>-2.9567353404365156E-3</v>
      </c>
      <c r="M167">
        <f t="shared" si="19"/>
        <v>1.9138236618429919E-3</v>
      </c>
      <c r="N167">
        <f t="shared" si="20"/>
        <v>-1.6805132627887168E-3</v>
      </c>
      <c r="O167">
        <f t="shared" si="21"/>
        <v>5.8407999994647939E-4</v>
      </c>
      <c r="P167">
        <f t="shared" si="22"/>
        <v>-3.5721290480928273E-3</v>
      </c>
    </row>
    <row r="168" spans="1:16" x14ac:dyDescent="0.25">
      <c r="A168" s="2">
        <v>40052</v>
      </c>
      <c r="B168">
        <v>8.9874229999999996E-3</v>
      </c>
      <c r="C168">
        <v>6.3072140000000002E-3</v>
      </c>
      <c r="D168">
        <v>2.7779139999999998E-3</v>
      </c>
      <c r="E168">
        <v>-9.3957369999999995E-3</v>
      </c>
      <c r="F168">
        <v>-4.3442690000000004E-3</v>
      </c>
      <c r="G168">
        <v>-1.5700096E-2</v>
      </c>
      <c r="H168">
        <v>-1.073872E-3</v>
      </c>
      <c r="I168">
        <v>-4.1560130000000001E-3</v>
      </c>
      <c r="J168">
        <v>-6.4736569999999998E-3</v>
      </c>
      <c r="K168">
        <v>6.3072140000000002E-3</v>
      </c>
      <c r="L168">
        <f t="shared" si="18"/>
        <v>-6.7691981463445221E-3</v>
      </c>
      <c r="M168">
        <f t="shared" si="19"/>
        <v>-1.3645073536792188E-3</v>
      </c>
      <c r="N168">
        <f t="shared" si="20"/>
        <v>-7.718645955919941E-3</v>
      </c>
      <c r="O168">
        <f t="shared" si="21"/>
        <v>-7.3153688997882804E-3</v>
      </c>
      <c r="P168">
        <f t="shared" si="22"/>
        <v>-7.7147719910041473E-3</v>
      </c>
    </row>
    <row r="169" spans="1:16" x14ac:dyDescent="0.25">
      <c r="A169" s="2">
        <v>40053</v>
      </c>
      <c r="B169">
        <v>3.7057890000000001E-3</v>
      </c>
      <c r="C169">
        <v>7.3927810000000002E-3</v>
      </c>
      <c r="D169">
        <v>-1.990379E-3</v>
      </c>
      <c r="E169">
        <v>8.5587289999999993E-3</v>
      </c>
      <c r="F169">
        <v>8.0791579999999995E-3</v>
      </c>
      <c r="G169">
        <v>5.7282799999999997E-3</v>
      </c>
      <c r="H169" s="1">
        <v>-5.1990799999999997E-5</v>
      </c>
      <c r="I169">
        <v>9.2425370000000003E-3</v>
      </c>
      <c r="J169">
        <v>5.0249769999999999E-3</v>
      </c>
      <c r="K169">
        <v>7.3927810000000002E-3</v>
      </c>
      <c r="L169">
        <f t="shared" si="18"/>
        <v>1.1816795763433001E-2</v>
      </c>
      <c r="M169">
        <f t="shared" si="19"/>
        <v>5.4708182933924532E-3</v>
      </c>
      <c r="N169">
        <f t="shared" si="20"/>
        <v>1.060472187862117E-2</v>
      </c>
      <c r="O169">
        <f t="shared" si="21"/>
        <v>9.2404258547109097E-3</v>
      </c>
      <c r="P169">
        <f t="shared" si="22"/>
        <v>1.1504905050021995E-2</v>
      </c>
    </row>
    <row r="170" spans="1:16" x14ac:dyDescent="0.25">
      <c r="A170" s="2">
        <v>40056</v>
      </c>
      <c r="B170">
        <v>-2.1432986000000001E-2</v>
      </c>
      <c r="C170">
        <v>-2.5187312E-2</v>
      </c>
      <c r="D170">
        <v>-8.1091419999999997E-3</v>
      </c>
      <c r="E170">
        <v>-1.0807921999999999E-2</v>
      </c>
      <c r="F170">
        <v>-1.8338198999999999E-2</v>
      </c>
      <c r="G170">
        <v>-3.9578360000000002E-3</v>
      </c>
      <c r="H170">
        <v>-2.1228575E-2</v>
      </c>
      <c r="I170">
        <v>-6.1642989999999998E-3</v>
      </c>
      <c r="J170">
        <v>-1.2832464E-2</v>
      </c>
      <c r="K170">
        <v>-2.5187312E-2</v>
      </c>
      <c r="L170">
        <f t="shared" si="18"/>
        <v>-3.3162655903115081E-3</v>
      </c>
      <c r="M170">
        <f t="shared" si="19"/>
        <v>-4.7412657236900434E-3</v>
      </c>
      <c r="N170">
        <f t="shared" si="20"/>
        <v>-1.1099087584669123E-2</v>
      </c>
      <c r="O170">
        <f t="shared" si="21"/>
        <v>-1.1006118231195898E-2</v>
      </c>
      <c r="P170">
        <f t="shared" si="22"/>
        <v>-9.8540354922271815E-3</v>
      </c>
    </row>
    <row r="171" spans="1:16" x14ac:dyDescent="0.25">
      <c r="A171" s="2">
        <v>40057</v>
      </c>
      <c r="B171">
        <v>8.2243079999999996E-3</v>
      </c>
      <c r="C171">
        <v>7.1525679999999998E-3</v>
      </c>
      <c r="D171">
        <v>-2.2372209000000001E-2</v>
      </c>
      <c r="E171">
        <v>-2.4247085000000002E-2</v>
      </c>
      <c r="F171">
        <v>0</v>
      </c>
      <c r="G171">
        <v>3.5704489999999998E-3</v>
      </c>
      <c r="H171">
        <v>-1.2003277999999999E-2</v>
      </c>
      <c r="I171">
        <v>-1.7967666E-2</v>
      </c>
      <c r="J171">
        <v>3.5967360000000001E-3</v>
      </c>
      <c r="K171">
        <v>7.1525679999999998E-3</v>
      </c>
      <c r="L171">
        <f t="shared" si="18"/>
        <v>-1.2982425641349727E-2</v>
      </c>
      <c r="M171">
        <f t="shared" si="19"/>
        <v>-3.8292596297223249E-3</v>
      </c>
      <c r="N171">
        <f t="shared" si="20"/>
        <v>-5.3592828624070199E-3</v>
      </c>
      <c r="O171">
        <f t="shared" si="21"/>
        <v>-7.1837141742911335E-3</v>
      </c>
      <c r="P171">
        <f t="shared" si="22"/>
        <v>-4.808738008491421E-3</v>
      </c>
    </row>
    <row r="172" spans="1:16" x14ac:dyDescent="0.25">
      <c r="A172" s="2">
        <v>40058</v>
      </c>
      <c r="B172">
        <v>-2.5344019999999998E-2</v>
      </c>
      <c r="C172">
        <v>-3.1604510000000002E-2</v>
      </c>
      <c r="D172">
        <v>-3.3019059999999999E-3</v>
      </c>
      <c r="E172">
        <v>-1.399438E-3</v>
      </c>
      <c r="F172">
        <v>-4.5656400000000001E-4</v>
      </c>
      <c r="G172">
        <v>-2.3989018000000001E-2</v>
      </c>
      <c r="H172">
        <v>-7.7157959999999996E-3</v>
      </c>
      <c r="I172">
        <v>-5.9843300000000004E-3</v>
      </c>
      <c r="J172">
        <v>-8.3209489999999994E-3</v>
      </c>
      <c r="K172">
        <v>-3.1604510000000002E-2</v>
      </c>
      <c r="L172">
        <f t="shared" si="18"/>
        <v>-1.3464332277599704E-2</v>
      </c>
      <c r="M172">
        <f t="shared" si="19"/>
        <v>-2.0624233075896043E-3</v>
      </c>
      <c r="N172">
        <f t="shared" si="20"/>
        <v>-1.0397156443784764E-2</v>
      </c>
      <c r="O172">
        <f t="shared" si="21"/>
        <v>-8.5653369391529427E-3</v>
      </c>
      <c r="P172">
        <f t="shared" si="22"/>
        <v>-1.0842931253329857E-2</v>
      </c>
    </row>
    <row r="173" spans="1:16" x14ac:dyDescent="0.25">
      <c r="A173" s="2">
        <v>40059</v>
      </c>
      <c r="B173">
        <v>8.3780780000000006E-3</v>
      </c>
      <c r="C173">
        <v>1.2507327E-2</v>
      </c>
      <c r="D173">
        <v>8.4985919999999993E-3</v>
      </c>
      <c r="E173">
        <v>-3.4685190000000002E-3</v>
      </c>
      <c r="F173">
        <v>-4.3060920000000001E-3</v>
      </c>
      <c r="G173">
        <v>-6.4230210000000001E-3</v>
      </c>
      <c r="H173">
        <v>5.7789579999999998E-3</v>
      </c>
      <c r="I173">
        <v>-1.465902E-3</v>
      </c>
      <c r="J173">
        <v>8.1171620000000007E-3</v>
      </c>
      <c r="K173">
        <v>1.2507327E-2</v>
      </c>
      <c r="L173">
        <f t="shared" si="18"/>
        <v>9.2309859076652977E-3</v>
      </c>
      <c r="M173">
        <f t="shared" si="19"/>
        <v>2.5485992760188036E-3</v>
      </c>
      <c r="N173">
        <f t="shared" si="20"/>
        <v>5.3624738942654147E-3</v>
      </c>
      <c r="O173">
        <f t="shared" si="21"/>
        <v>2.1073414026598044E-3</v>
      </c>
      <c r="P173">
        <f t="shared" si="22"/>
        <v>7.2707642147449986E-3</v>
      </c>
    </row>
    <row r="174" spans="1:16" x14ac:dyDescent="0.25">
      <c r="A174" s="2">
        <v>40060</v>
      </c>
      <c r="B174">
        <v>-2.1587901E-2</v>
      </c>
      <c r="C174">
        <v>-1.7984090000000001E-2</v>
      </c>
      <c r="D174">
        <v>1.3032210000000001E-2</v>
      </c>
      <c r="E174">
        <v>1.5536746000000001E-2</v>
      </c>
      <c r="F174">
        <v>1.138013E-2</v>
      </c>
      <c r="G174">
        <v>-2.69879E-3</v>
      </c>
      <c r="H174">
        <v>1.6821479E-2</v>
      </c>
      <c r="I174">
        <v>1.2772762999999999E-2</v>
      </c>
      <c r="J174">
        <v>9.7020449999999994E-3</v>
      </c>
      <c r="K174">
        <v>-1.7984090000000001E-2</v>
      </c>
      <c r="L174">
        <f t="shared" si="18"/>
        <v>1.4831606562921307E-2</v>
      </c>
      <c r="M174">
        <f t="shared" si="19"/>
        <v>8.8043836772055163E-3</v>
      </c>
      <c r="N174">
        <f t="shared" si="20"/>
        <v>1.4275409817327285E-2</v>
      </c>
      <c r="O174">
        <f t="shared" si="21"/>
        <v>1.3137373254738426E-2</v>
      </c>
      <c r="P174">
        <f t="shared" si="22"/>
        <v>1.4450101484811928E-2</v>
      </c>
    </row>
    <row r="175" spans="1:16" x14ac:dyDescent="0.25">
      <c r="A175" s="2">
        <v>40063</v>
      </c>
      <c r="B175">
        <v>2.5094420000000002E-3</v>
      </c>
      <c r="C175">
        <v>1.0777477000000001E-2</v>
      </c>
      <c r="D175">
        <v>8.8060559999999996E-3</v>
      </c>
      <c r="E175">
        <v>1.4579985E-2</v>
      </c>
      <c r="F175">
        <v>1.6658705999999999E-2</v>
      </c>
      <c r="G175">
        <v>1.3051646E-2</v>
      </c>
      <c r="H175">
        <v>0</v>
      </c>
      <c r="I175">
        <v>1.5583349E-2</v>
      </c>
      <c r="J175">
        <v>1.0025826999999999E-2</v>
      </c>
      <c r="K175">
        <v>1.0777477000000001E-2</v>
      </c>
      <c r="L175">
        <f t="shared" si="18"/>
        <v>2.1366767431769861E-2</v>
      </c>
      <c r="M175">
        <f t="shared" si="19"/>
        <v>9.2423676090298938E-3</v>
      </c>
      <c r="N175">
        <f t="shared" si="20"/>
        <v>1.8755148555181258E-2</v>
      </c>
      <c r="O175">
        <f t="shared" si="21"/>
        <v>1.7213230535135217E-2</v>
      </c>
      <c r="P175">
        <f t="shared" si="22"/>
        <v>2.2118631761253348E-2</v>
      </c>
    </row>
    <row r="176" spans="1:16" x14ac:dyDescent="0.25">
      <c r="A176" s="2">
        <v>40064</v>
      </c>
      <c r="B176">
        <v>-9.4974069999999994E-3</v>
      </c>
      <c r="C176">
        <v>-6.6586029999999999E-3</v>
      </c>
      <c r="D176">
        <v>0</v>
      </c>
      <c r="E176">
        <v>3.3293039999999999E-3</v>
      </c>
      <c r="F176">
        <v>2.8541090000000001E-3</v>
      </c>
      <c r="G176">
        <v>6.9797909999999999E-3</v>
      </c>
      <c r="H176">
        <v>2.1012589000000002E-2</v>
      </c>
      <c r="I176">
        <v>2.8735309999999999E-3</v>
      </c>
      <c r="J176">
        <v>1.3928806E-2</v>
      </c>
      <c r="K176">
        <v>-6.6586029999999999E-3</v>
      </c>
      <c r="L176">
        <f t="shared" si="18"/>
        <v>1.0422838978401508E-2</v>
      </c>
      <c r="M176">
        <f t="shared" si="19"/>
        <v>6.4255223561899798E-3</v>
      </c>
      <c r="N176">
        <f t="shared" si="20"/>
        <v>1.2495822760071957E-2</v>
      </c>
      <c r="O176">
        <f t="shared" si="21"/>
        <v>9.8437811233973126E-3</v>
      </c>
      <c r="P176">
        <f t="shared" si="22"/>
        <v>1.0703824653754546E-2</v>
      </c>
    </row>
    <row r="177" spans="1:16" x14ac:dyDescent="0.25">
      <c r="A177" s="2">
        <v>40065</v>
      </c>
      <c r="B177">
        <v>-5.8344479999999999E-3</v>
      </c>
      <c r="C177">
        <v>-8.6716020000000005E-3</v>
      </c>
      <c r="D177">
        <v>7.7522779999999996E-3</v>
      </c>
      <c r="E177">
        <v>1.6738829E-2</v>
      </c>
      <c r="F177">
        <v>1.145557E-2</v>
      </c>
      <c r="G177">
        <v>-7.8327910000000004E-3</v>
      </c>
      <c r="H177">
        <v>9.5020100000000002E-4</v>
      </c>
      <c r="I177">
        <v>1.084736E-2</v>
      </c>
      <c r="J177">
        <v>-2.746053E-3</v>
      </c>
      <c r="K177">
        <v>-8.6716020000000005E-3</v>
      </c>
      <c r="L177">
        <f t="shared" si="18"/>
        <v>3.7064610434502285E-3</v>
      </c>
      <c r="M177">
        <f t="shared" si="19"/>
        <v>5.6628600008052608E-3</v>
      </c>
      <c r="N177">
        <f t="shared" si="20"/>
        <v>4.4155290356567654E-3</v>
      </c>
      <c r="O177">
        <f t="shared" si="21"/>
        <v>6.8030009403059572E-3</v>
      </c>
      <c r="P177">
        <f t="shared" si="22"/>
        <v>4.5337529213297055E-3</v>
      </c>
    </row>
    <row r="178" spans="1:16" x14ac:dyDescent="0.25">
      <c r="A178" s="2">
        <v>40066</v>
      </c>
      <c r="B178">
        <v>7.5742250000000004E-3</v>
      </c>
      <c r="C178">
        <v>-2.5675419999999999E-3</v>
      </c>
      <c r="D178">
        <v>1.0368274E-2</v>
      </c>
      <c r="E178">
        <v>3.6726599999999999E-3</v>
      </c>
      <c r="F178">
        <v>-3.3226610000000002E-3</v>
      </c>
      <c r="G178">
        <v>1.9354473000000001E-2</v>
      </c>
      <c r="H178">
        <v>1.0751867999999999E-2</v>
      </c>
      <c r="I178">
        <v>-1.0347500000000001E-3</v>
      </c>
      <c r="J178">
        <v>9.2336710000000006E-3</v>
      </c>
      <c r="K178">
        <v>-2.5675419999999999E-3</v>
      </c>
      <c r="L178">
        <f t="shared" si="18"/>
        <v>9.7929813310228282E-3</v>
      </c>
      <c r="M178">
        <f t="shared" si="19"/>
        <v>6.020051185399191E-3</v>
      </c>
      <c r="N178">
        <f t="shared" si="20"/>
        <v>9.0064490136821905E-3</v>
      </c>
      <c r="O178">
        <f t="shared" si="21"/>
        <v>9.5558761685942128E-3</v>
      </c>
      <c r="P178">
        <f t="shared" si="22"/>
        <v>9.1391710288236238E-3</v>
      </c>
    </row>
    <row r="179" spans="1:16" x14ac:dyDescent="0.25">
      <c r="A179" s="2">
        <v>40067</v>
      </c>
      <c r="B179">
        <v>3.6271557000000003E-2</v>
      </c>
      <c r="C179">
        <v>4.0760841999999999E-2</v>
      </c>
      <c r="D179">
        <v>-1.351306E-3</v>
      </c>
      <c r="E179">
        <v>5.2144779999999998E-3</v>
      </c>
      <c r="F179">
        <v>4.7603899999999998E-3</v>
      </c>
      <c r="G179">
        <v>-6.6170680000000003E-3</v>
      </c>
      <c r="H179">
        <v>-2.908421E-3</v>
      </c>
      <c r="I179">
        <v>5.1799289999999998E-3</v>
      </c>
      <c r="J179">
        <v>3.6062540000000001E-3</v>
      </c>
      <c r="K179">
        <v>4.0760841999999999E-2</v>
      </c>
      <c r="L179">
        <f t="shared" si="18"/>
        <v>7.8867438725725766E-3</v>
      </c>
      <c r="M179">
        <f t="shared" si="19"/>
        <v>3.1749855670097195E-3</v>
      </c>
      <c r="N179">
        <f t="shared" si="20"/>
        <v>6.187022807273501E-3</v>
      </c>
      <c r="O179">
        <f t="shared" si="21"/>
        <v>4.1450392065232183E-3</v>
      </c>
      <c r="P179">
        <f t="shared" si="22"/>
        <v>7.6542098353289262E-3</v>
      </c>
    </row>
    <row r="180" spans="1:16" x14ac:dyDescent="0.25">
      <c r="A180" s="2">
        <v>40070</v>
      </c>
      <c r="B180">
        <v>-1.9949690000000001E-3</v>
      </c>
      <c r="C180">
        <v>-5.2137420000000004E-3</v>
      </c>
      <c r="D180">
        <v>6.3191209999999996E-3</v>
      </c>
      <c r="E180">
        <v>-6.7234300000000005E-4</v>
      </c>
      <c r="F180">
        <v>1.4755149999999999E-3</v>
      </c>
      <c r="G180">
        <v>-2.3469587E-2</v>
      </c>
      <c r="H180">
        <v>8.5641209999999992E-3</v>
      </c>
      <c r="I180">
        <v>-6.9872800000000002E-4</v>
      </c>
      <c r="J180">
        <v>-8.4051979999999991E-3</v>
      </c>
      <c r="K180">
        <v>-5.2137420000000004E-3</v>
      </c>
      <c r="L180">
        <f t="shared" si="18"/>
        <v>-1.1504591143141755E-2</v>
      </c>
      <c r="M180">
        <f t="shared" si="19"/>
        <v>4.983496287779888E-4</v>
      </c>
      <c r="N180">
        <f t="shared" si="20"/>
        <v>-8.561027336502141E-3</v>
      </c>
      <c r="O180">
        <f t="shared" si="21"/>
        <v>-5.9197421841005399E-3</v>
      </c>
      <c r="P180">
        <f t="shared" si="22"/>
        <v>-1.081772613499111E-2</v>
      </c>
    </row>
    <row r="181" spans="1:16" x14ac:dyDescent="0.25">
      <c r="A181" s="2">
        <v>40071</v>
      </c>
      <c r="B181">
        <v>-1.2536673E-2</v>
      </c>
      <c r="C181">
        <v>-4.1362760000000004E-3</v>
      </c>
      <c r="D181">
        <v>3.1303989999999999E-3</v>
      </c>
      <c r="E181">
        <v>1.553886E-3</v>
      </c>
      <c r="F181">
        <v>4.611876E-3</v>
      </c>
      <c r="G181">
        <v>1.5240200000000001E-3</v>
      </c>
      <c r="H181">
        <v>6.7043900000000002E-3</v>
      </c>
      <c r="I181">
        <v>4.297024E-3</v>
      </c>
      <c r="J181">
        <v>8.3231680000000006E-3</v>
      </c>
      <c r="K181">
        <v>-4.1362760000000004E-3</v>
      </c>
      <c r="L181">
        <f t="shared" si="18"/>
        <v>1.0487626596382991E-2</v>
      </c>
      <c r="M181">
        <f t="shared" si="19"/>
        <v>4.7574969862244328E-3</v>
      </c>
      <c r="N181">
        <f t="shared" si="20"/>
        <v>9.4318381240582581E-3</v>
      </c>
      <c r="O181">
        <f t="shared" si="21"/>
        <v>7.0270889056843668E-3</v>
      </c>
      <c r="P181">
        <f t="shared" si="22"/>
        <v>1.0434876362095396E-2</v>
      </c>
    </row>
    <row r="182" spans="1:16" x14ac:dyDescent="0.25">
      <c r="A182" s="2">
        <v>40072</v>
      </c>
      <c r="B182">
        <v>1.6615187E-2</v>
      </c>
      <c r="C182">
        <v>2.5284654E-2</v>
      </c>
      <c r="D182">
        <v>1.5207304E-2</v>
      </c>
      <c r="E182">
        <v>1.2583534E-2</v>
      </c>
      <c r="F182">
        <v>1.6132238E-2</v>
      </c>
      <c r="G182">
        <v>5.1883160000000001E-3</v>
      </c>
      <c r="H182">
        <v>1.9169169E-2</v>
      </c>
      <c r="I182">
        <v>1.4512465E-2</v>
      </c>
      <c r="J182">
        <v>1.5813252E-2</v>
      </c>
      <c r="K182">
        <v>2.5284654E-2</v>
      </c>
      <c r="L182">
        <f t="shared" si="18"/>
        <v>2.114600325998036E-2</v>
      </c>
      <c r="M182">
        <f t="shared" si="19"/>
        <v>1.0597811075589481E-2</v>
      </c>
      <c r="N182">
        <f t="shared" si="20"/>
        <v>2.0418705095033515E-2</v>
      </c>
      <c r="O182">
        <f t="shared" si="21"/>
        <v>1.7681990593413958E-2</v>
      </c>
      <c r="P182">
        <f t="shared" si="22"/>
        <v>2.1919414373582441E-2</v>
      </c>
    </row>
    <row r="183" spans="1:16" x14ac:dyDescent="0.25">
      <c r="A183" s="2">
        <v>40073</v>
      </c>
      <c r="B183">
        <v>6.0846210000000001E-3</v>
      </c>
      <c r="C183">
        <v>1.1543223999999999E-2</v>
      </c>
      <c r="D183">
        <v>-3.0643110000000001E-3</v>
      </c>
      <c r="E183">
        <v>5.4026760000000004E-3</v>
      </c>
      <c r="F183">
        <v>7.7565730000000001E-3</v>
      </c>
      <c r="G183">
        <v>1.6706504E-2</v>
      </c>
      <c r="H183">
        <v>-2.901027E-3</v>
      </c>
      <c r="I183">
        <v>5.445147E-3</v>
      </c>
      <c r="J183">
        <v>5.761581E-3</v>
      </c>
      <c r="K183">
        <v>1.1543223999999999E-2</v>
      </c>
      <c r="L183">
        <f t="shared" si="18"/>
        <v>1.0044611974824995E-2</v>
      </c>
      <c r="M183">
        <f t="shared" si="19"/>
        <v>5.399269248399609E-3</v>
      </c>
      <c r="N183">
        <f t="shared" si="20"/>
        <v>1.040328707755054E-2</v>
      </c>
      <c r="O183">
        <f t="shared" si="21"/>
        <v>1.0087574042102089E-2</v>
      </c>
      <c r="P183">
        <f t="shared" si="22"/>
        <v>1.1563604779051053E-2</v>
      </c>
    </row>
    <row r="184" spans="1:16" x14ac:dyDescent="0.25">
      <c r="A184" s="2">
        <v>40074</v>
      </c>
      <c r="B184">
        <v>4.1573779999999998E-3</v>
      </c>
      <c r="C184">
        <v>2.6736499999999999E-4</v>
      </c>
      <c r="D184">
        <v>2.633813E-3</v>
      </c>
      <c r="E184">
        <v>-4.7765849999999999E-3</v>
      </c>
      <c r="F184">
        <v>1.7219869999999999E-3</v>
      </c>
      <c r="G184">
        <v>-7.0394070000000001E-3</v>
      </c>
      <c r="H184">
        <v>7.7229400000000002E-3</v>
      </c>
      <c r="I184">
        <v>-3.6403999999999999E-4</v>
      </c>
      <c r="J184">
        <v>4.1240200000000003E-4</v>
      </c>
      <c r="K184">
        <v>2.6736499999999999E-4</v>
      </c>
      <c r="L184">
        <f t="shared" si="18"/>
        <v>-1.3137636317426841E-3</v>
      </c>
      <c r="M184">
        <f t="shared" si="19"/>
        <v>1.9736404001379159E-3</v>
      </c>
      <c r="N184">
        <f t="shared" si="20"/>
        <v>-1.0599973395678647E-4</v>
      </c>
      <c r="O184">
        <f t="shared" si="21"/>
        <v>-3.2158359985344693E-4</v>
      </c>
      <c r="P184">
        <f t="shared" si="22"/>
        <v>-7.994579253618639E-4</v>
      </c>
    </row>
    <row r="185" spans="1:16" x14ac:dyDescent="0.25">
      <c r="A185" s="2">
        <v>40079</v>
      </c>
      <c r="B185">
        <v>8.1951230000000003E-3</v>
      </c>
      <c r="C185">
        <v>4.8589219999999999E-3</v>
      </c>
      <c r="D185">
        <v>-6.9792739999999997E-3</v>
      </c>
      <c r="E185">
        <v>-3.1211999999999999E-4</v>
      </c>
      <c r="F185">
        <v>-6.497119E-3</v>
      </c>
      <c r="G185">
        <v>1.6608748E-2</v>
      </c>
      <c r="H185">
        <v>-3.4158729999999998E-3</v>
      </c>
      <c r="I185">
        <v>-2.200783E-3</v>
      </c>
      <c r="J185">
        <v>-4.0044959999999998E-3</v>
      </c>
      <c r="K185">
        <v>4.8589219999999999E-3</v>
      </c>
      <c r="L185">
        <f t="shared" si="18"/>
        <v>-1.1816267710342086E-3</v>
      </c>
      <c r="M185">
        <f t="shared" si="19"/>
        <v>1.5605953015456193E-3</v>
      </c>
      <c r="N185">
        <f t="shared" si="20"/>
        <v>-1.1395209641163256E-3</v>
      </c>
      <c r="O185">
        <f t="shared" si="21"/>
        <v>1.2965894651185616E-3</v>
      </c>
      <c r="P185">
        <f t="shared" si="22"/>
        <v>-2.7524237288781895E-3</v>
      </c>
    </row>
    <row r="186" spans="1:16" x14ac:dyDescent="0.25">
      <c r="A186" s="2">
        <v>40080</v>
      </c>
      <c r="B186">
        <v>9.0236510000000006E-3</v>
      </c>
      <c r="C186">
        <v>8.4823269999999996E-3</v>
      </c>
      <c r="D186">
        <v>-9.5565809999999998E-3</v>
      </c>
      <c r="E186">
        <v>-1.7129236999999999E-2</v>
      </c>
      <c r="F186">
        <v>-1.1762883999999999E-2</v>
      </c>
      <c r="G186">
        <v>0</v>
      </c>
      <c r="H186">
        <v>-7.4663120000000001E-3</v>
      </c>
      <c r="I186">
        <v>-1.4179304E-2</v>
      </c>
      <c r="J186">
        <v>-1.0152977000000001E-2</v>
      </c>
      <c r="K186">
        <v>8.4823269999999996E-3</v>
      </c>
      <c r="L186">
        <f t="shared" si="18"/>
        <v>-1.6582250803817419E-2</v>
      </c>
      <c r="M186">
        <f t="shared" si="19"/>
        <v>-4.1927728164433513E-3</v>
      </c>
      <c r="N186">
        <f t="shared" si="20"/>
        <v>-1.4031620232397266E-2</v>
      </c>
      <c r="O186">
        <f t="shared" si="21"/>
        <v>-1.1333403257604138E-2</v>
      </c>
      <c r="P186">
        <f t="shared" si="22"/>
        <v>-1.579935761186721E-2</v>
      </c>
    </row>
    <row r="187" spans="1:16" x14ac:dyDescent="0.25">
      <c r="A187" s="2">
        <v>40081</v>
      </c>
      <c r="B187">
        <v>-7.4335149999999999E-3</v>
      </c>
      <c r="C187">
        <v>-1.2106949000000001E-2</v>
      </c>
      <c r="D187">
        <v>-6.1093379999999997E-3</v>
      </c>
      <c r="E187">
        <v>-4.2550899999999996E-3</v>
      </c>
      <c r="F187">
        <v>5.7078200000000004E-4</v>
      </c>
      <c r="G187">
        <v>-2.6742327E-2</v>
      </c>
      <c r="H187">
        <v>5.1494280000000002E-3</v>
      </c>
      <c r="I187">
        <v>-2.034007E-3</v>
      </c>
      <c r="J187">
        <v>-5.9241000000000003E-4</v>
      </c>
      <c r="K187">
        <v>-1.2106949000000001E-2</v>
      </c>
      <c r="L187">
        <f t="shared" si="18"/>
        <v>-5.7924487993387553E-3</v>
      </c>
      <c r="M187">
        <f t="shared" si="19"/>
        <v>-6.2706169030673055E-4</v>
      </c>
      <c r="N187">
        <f t="shared" si="20"/>
        <v>-3.7456076784651909E-3</v>
      </c>
      <c r="O187">
        <f t="shared" si="21"/>
        <v>-5.8404895435689727E-3</v>
      </c>
      <c r="P187">
        <f t="shared" si="22"/>
        <v>-5.0267584489608903E-3</v>
      </c>
    </row>
    <row r="188" spans="1:16" x14ac:dyDescent="0.25">
      <c r="A188" s="2">
        <v>40084</v>
      </c>
      <c r="B188">
        <v>4.0016440000000004E-3</v>
      </c>
      <c r="C188">
        <v>6.2458499999999998E-4</v>
      </c>
      <c r="D188">
        <v>1.7652877000000001E-2</v>
      </c>
      <c r="E188">
        <v>2.7374714000000001E-2</v>
      </c>
      <c r="F188">
        <v>1.6296382000000002E-2</v>
      </c>
      <c r="G188">
        <v>-2.5298876000000001E-2</v>
      </c>
      <c r="H188">
        <v>1.5796766E-2</v>
      </c>
      <c r="I188">
        <v>1.7615118999999999E-2</v>
      </c>
      <c r="J188">
        <v>-3.191672E-3</v>
      </c>
      <c r="K188">
        <v>6.2458499999999998E-4</v>
      </c>
      <c r="L188">
        <f t="shared" si="18"/>
        <v>3.4245795681602425E-3</v>
      </c>
      <c r="M188">
        <f t="shared" si="19"/>
        <v>8.1397328725593028E-3</v>
      </c>
      <c r="N188">
        <f t="shared" si="20"/>
        <v>5.1835984470519547E-3</v>
      </c>
      <c r="O188">
        <f t="shared" si="21"/>
        <v>8.2914758166971365E-3</v>
      </c>
      <c r="P188">
        <f t="shared" si="22"/>
        <v>3.4744189803053594E-3</v>
      </c>
    </row>
    <row r="189" spans="1:16" x14ac:dyDescent="0.25">
      <c r="A189" s="2">
        <v>40085</v>
      </c>
      <c r="B189">
        <v>1.1414049000000001E-2</v>
      </c>
      <c r="C189">
        <v>1.4048353E-2</v>
      </c>
      <c r="D189">
        <v>-2.2320700000000001E-3</v>
      </c>
      <c r="E189">
        <v>-3.9808500000000002E-3</v>
      </c>
      <c r="F189">
        <v>-1.162183E-3</v>
      </c>
      <c r="G189">
        <v>9.0185860000000003E-3</v>
      </c>
      <c r="H189">
        <v>-1.338208E-3</v>
      </c>
      <c r="I189">
        <v>-1.245038E-3</v>
      </c>
      <c r="J189">
        <v>8.9619239999999996E-3</v>
      </c>
      <c r="K189">
        <v>1.4048353E-2</v>
      </c>
      <c r="L189">
        <f t="shared" si="18"/>
        <v>1.0179569922012651E-2</v>
      </c>
      <c r="M189">
        <f t="shared" si="19"/>
        <v>2.871712495403759E-3</v>
      </c>
      <c r="N189">
        <f t="shared" si="20"/>
        <v>8.1078901043833123E-3</v>
      </c>
      <c r="O189">
        <f t="shared" si="21"/>
        <v>5.104258087503177E-3</v>
      </c>
      <c r="P189">
        <f t="shared" si="22"/>
        <v>1.0016277884618029E-2</v>
      </c>
    </row>
    <row r="190" spans="1:16" x14ac:dyDescent="0.25">
      <c r="A190" s="2">
        <v>40086</v>
      </c>
      <c r="B190">
        <v>-9.4423839999999998E-3</v>
      </c>
      <c r="C190">
        <v>-6.0646390000000001E-3</v>
      </c>
      <c r="D190">
        <v>-3.333824E-3</v>
      </c>
      <c r="E190">
        <v>-6.7365389999999997E-3</v>
      </c>
      <c r="F190">
        <v>-5.0128339999999999E-3</v>
      </c>
      <c r="G190">
        <v>3.2648970000000001E-3</v>
      </c>
      <c r="H190">
        <v>4.6108929999999996E-3</v>
      </c>
      <c r="I190">
        <v>-4.0518180000000004E-3</v>
      </c>
      <c r="J190">
        <v>-7.4382300000000001E-4</v>
      </c>
      <c r="K190">
        <v>-6.0646390000000001E-3</v>
      </c>
      <c r="L190">
        <f t="shared" si="18"/>
        <v>-2.6146346316546923E-3</v>
      </c>
      <c r="M190">
        <f t="shared" si="19"/>
        <v>9.0950117591020009E-4</v>
      </c>
      <c r="N190">
        <f t="shared" si="20"/>
        <v>-1.7446158467810278E-3</v>
      </c>
      <c r="O190">
        <f t="shared" si="21"/>
        <v>-1.3278781132481318E-3</v>
      </c>
      <c r="P190">
        <f t="shared" si="22"/>
        <v>-3.2563404266881132E-3</v>
      </c>
    </row>
    <row r="191" spans="1:16" x14ac:dyDescent="0.25">
      <c r="A191" s="2">
        <v>40087</v>
      </c>
      <c r="B191">
        <v>-2.2130359999999998E-3</v>
      </c>
      <c r="C191">
        <v>-6.4053080000000002E-3</v>
      </c>
      <c r="D191">
        <v>-2.6097229E-2</v>
      </c>
      <c r="E191">
        <v>-2.1481344999999999E-2</v>
      </c>
      <c r="F191">
        <v>-1.6913099000000001E-2</v>
      </c>
      <c r="G191">
        <v>-1.5373314000000001E-2</v>
      </c>
      <c r="H191">
        <v>-1.7364365999999999E-2</v>
      </c>
      <c r="I191">
        <v>-1.7376967E-2</v>
      </c>
      <c r="J191">
        <v>-3.2330470000000002E-3</v>
      </c>
      <c r="K191">
        <v>-6.4053080000000002E-3</v>
      </c>
      <c r="L191">
        <f t="shared" si="18"/>
        <v>-1.1312442467102656E-2</v>
      </c>
      <c r="M191">
        <f t="shared" si="19"/>
        <v>-7.7010372704623478E-3</v>
      </c>
      <c r="N191">
        <f t="shared" si="20"/>
        <v>-1.1786974302596051E-2</v>
      </c>
      <c r="O191">
        <f t="shared" si="21"/>
        <v>-1.5622841733602764E-2</v>
      </c>
      <c r="P191">
        <f t="shared" si="22"/>
        <v>-1.1748466330069443E-2</v>
      </c>
    </row>
    <row r="192" spans="1:16" x14ac:dyDescent="0.25">
      <c r="A192" s="2">
        <v>40088</v>
      </c>
      <c r="B192">
        <v>-2.0018345999999999E-2</v>
      </c>
      <c r="C192">
        <v>-2.6805494999999999E-2</v>
      </c>
      <c r="D192">
        <v>-4.5156909999999996E-3</v>
      </c>
      <c r="E192">
        <v>-1.5722781000000002E-2</v>
      </c>
      <c r="F192">
        <v>-1.177715E-2</v>
      </c>
      <c r="G192">
        <v>-2.5040742000000001E-2</v>
      </c>
      <c r="H192">
        <v>1.1724119E-2</v>
      </c>
      <c r="I192">
        <v>-1.6212542E-2</v>
      </c>
      <c r="J192">
        <v>-8.7413000000000005E-3</v>
      </c>
      <c r="K192">
        <v>-2.6805494999999999E-2</v>
      </c>
      <c r="L192">
        <f t="shared" si="18"/>
        <v>-2.4339853061609538E-2</v>
      </c>
      <c r="M192">
        <f t="shared" si="19"/>
        <v>-4.3917710846357993E-3</v>
      </c>
      <c r="N192">
        <f t="shared" si="20"/>
        <v>-1.792204374218194E-2</v>
      </c>
      <c r="O192">
        <f t="shared" si="21"/>
        <v>-1.55632802633058E-2</v>
      </c>
      <c r="P192">
        <f t="shared" si="22"/>
        <v>-2.2663049550581273E-2</v>
      </c>
    </row>
    <row r="193" spans="1:16" x14ac:dyDescent="0.25">
      <c r="A193" s="2">
        <v>40091</v>
      </c>
      <c r="B193">
        <v>2.3026511E-2</v>
      </c>
      <c r="C193">
        <v>3.2177894999999998E-2</v>
      </c>
      <c r="D193">
        <v>1.4765453E-2</v>
      </c>
      <c r="E193">
        <v>7.4612589999999996E-3</v>
      </c>
      <c r="F193">
        <v>7.110786E-3</v>
      </c>
      <c r="G193">
        <v>-5.9135419999999999E-3</v>
      </c>
      <c r="H193">
        <v>1.9378789E-2</v>
      </c>
      <c r="I193">
        <v>8.0329029999999992E-3</v>
      </c>
      <c r="J193">
        <v>1.991938E-3</v>
      </c>
      <c r="K193">
        <v>3.2177894999999998E-2</v>
      </c>
      <c r="L193">
        <f t="shared" si="18"/>
        <v>4.3452372643360791E-3</v>
      </c>
      <c r="M193">
        <f t="shared" si="19"/>
        <v>6.4026458032279843E-3</v>
      </c>
      <c r="N193">
        <f t="shared" si="20"/>
        <v>5.2939126822485515E-3</v>
      </c>
      <c r="O193">
        <f t="shared" si="21"/>
        <v>6.5874015148958028E-3</v>
      </c>
      <c r="P193">
        <f t="shared" si="22"/>
        <v>3.7976658843660326E-3</v>
      </c>
    </row>
    <row r="194" spans="1:16" x14ac:dyDescent="0.25">
      <c r="A194" s="2">
        <v>40092</v>
      </c>
      <c r="B194">
        <v>3.1160934000000001E-2</v>
      </c>
      <c r="C194">
        <v>4.4574338999999998E-2</v>
      </c>
      <c r="D194">
        <v>1.3612406000000001E-2</v>
      </c>
      <c r="E194">
        <v>2.6650954000000001E-2</v>
      </c>
      <c r="F194">
        <v>2.2377758000000001E-2</v>
      </c>
      <c r="G194">
        <v>1.787643E-3</v>
      </c>
      <c r="H194">
        <v>4.8304639999999996E-3</v>
      </c>
      <c r="I194">
        <v>2.3523141000000001E-2</v>
      </c>
      <c r="J194">
        <v>1.3076211000000001E-2</v>
      </c>
      <c r="K194">
        <v>4.4574338999999998E-2</v>
      </c>
      <c r="L194">
        <f t="shared" si="18"/>
        <v>2.7756544834437659E-2</v>
      </c>
      <c r="M194">
        <f t="shared" si="19"/>
        <v>1.185695689042892E-2</v>
      </c>
      <c r="N194">
        <f t="shared" si="20"/>
        <v>2.4078435980883786E-2</v>
      </c>
      <c r="O194">
        <f t="shared" si="21"/>
        <v>2.1416308083824984E-2</v>
      </c>
      <c r="P194">
        <f t="shared" si="22"/>
        <v>2.7712013745264861E-2</v>
      </c>
    </row>
    <row r="195" spans="1:16" x14ac:dyDescent="0.25">
      <c r="A195" s="2">
        <v>40093</v>
      </c>
      <c r="B195">
        <v>-8.7302219999999993E-3</v>
      </c>
      <c r="C195">
        <v>-9.6873529999999992E-3</v>
      </c>
      <c r="D195">
        <v>2.7079500000000002E-3</v>
      </c>
      <c r="E195">
        <v>-2.989809E-3</v>
      </c>
      <c r="F195">
        <v>-5.6797820000000004E-3</v>
      </c>
      <c r="G195">
        <v>1.1061401E-2</v>
      </c>
      <c r="H195">
        <v>-5.2669800000000003E-4</v>
      </c>
      <c r="I195">
        <v>-4.0432619999999997E-3</v>
      </c>
      <c r="J195">
        <v>4.2959809999999999E-3</v>
      </c>
      <c r="K195">
        <v>-9.6873529999999992E-3</v>
      </c>
      <c r="L195">
        <f t="shared" si="18"/>
        <v>5.1050144534308343E-3</v>
      </c>
      <c r="M195">
        <f t="shared" si="19"/>
        <v>2.3951875282265385E-3</v>
      </c>
      <c r="N195">
        <f t="shared" si="20"/>
        <v>3.3524536648199136E-3</v>
      </c>
      <c r="O195">
        <f t="shared" si="21"/>
        <v>3.0764403295179118E-3</v>
      </c>
      <c r="P195">
        <f t="shared" si="22"/>
        <v>4.3374792127167279E-3</v>
      </c>
    </row>
    <row r="196" spans="1:16" x14ac:dyDescent="0.25">
      <c r="A196" s="2">
        <v>40094</v>
      </c>
      <c r="B196">
        <v>1.706096E-2</v>
      </c>
      <c r="C196">
        <v>2.2759763999999998E-2</v>
      </c>
      <c r="D196">
        <v>7.4421230000000001E-3</v>
      </c>
      <c r="E196">
        <v>1.3346692E-2</v>
      </c>
      <c r="F196">
        <v>8.9054029999999992E-3</v>
      </c>
      <c r="G196">
        <v>3.3486060000000001E-3</v>
      </c>
      <c r="H196">
        <v>1.7753912E-2</v>
      </c>
      <c r="I196">
        <v>1.0892793E-2</v>
      </c>
      <c r="J196">
        <v>7.6959799999999998E-3</v>
      </c>
      <c r="K196">
        <v>2.2759763999999998E-2</v>
      </c>
      <c r="L196">
        <f t="shared" ref="L196:L259" si="23">SUMPRODUCT(D196:J196,$R$8:$X$8)+$Y$8</f>
        <v>1.1378598681368425E-2</v>
      </c>
      <c r="M196">
        <f t="shared" ref="M196:M259" si="24">SUMPRODUCT(D196:J196,$R$16:$X$16)+$Y$16</f>
        <v>8.1480755743125605E-3</v>
      </c>
      <c r="N196">
        <f t="shared" ref="N196:N259" si="25">SUMPRODUCT(D196:J196,$R$24:$X$24)+$Y$24</f>
        <v>1.2241381946990895E-2</v>
      </c>
      <c r="O196">
        <f t="shared" ref="O196:O259" si="26">SUMPRODUCT(D196:J196,$R$32:$X$32)+$Y$32</f>
        <v>1.2031747893857279E-2</v>
      </c>
      <c r="P196">
        <f t="shared" ref="P196:P259" si="27">SUMPRODUCT(D196:J196,$R$40:$X$40)+$Y$40</f>
        <v>1.0890519488905128E-2</v>
      </c>
    </row>
    <row r="197" spans="1:16" x14ac:dyDescent="0.25">
      <c r="A197" s="2">
        <v>40095</v>
      </c>
      <c r="B197">
        <v>6.7462570000000003E-3</v>
      </c>
      <c r="C197">
        <v>4.0640310000000001E-3</v>
      </c>
      <c r="D197">
        <v>5.6248009999999996E-3</v>
      </c>
      <c r="E197">
        <v>-8.1551099999999999E-4</v>
      </c>
      <c r="F197">
        <v>1.415209E-3</v>
      </c>
      <c r="G197">
        <v>1.8532577000000001E-2</v>
      </c>
      <c r="H197">
        <v>4.8658089999999996E-3</v>
      </c>
      <c r="I197" s="1">
        <v>9.1597100000000004E-5</v>
      </c>
      <c r="J197">
        <v>6.1762620000000001E-3</v>
      </c>
      <c r="K197">
        <v>4.0640310000000001E-3</v>
      </c>
      <c r="L197">
        <f t="shared" si="23"/>
        <v>7.4147366453187671E-3</v>
      </c>
      <c r="M197">
        <f t="shared" si="24"/>
        <v>4.9740818844881242E-3</v>
      </c>
      <c r="N197">
        <f t="shared" si="25"/>
        <v>7.4778718333750188E-3</v>
      </c>
      <c r="O197">
        <f t="shared" si="26"/>
        <v>7.9739019623376022E-3</v>
      </c>
      <c r="P197">
        <f t="shared" si="27"/>
        <v>8.1397609005627713E-3</v>
      </c>
    </row>
    <row r="198" spans="1:16" x14ac:dyDescent="0.25">
      <c r="A198" s="2">
        <v>40098</v>
      </c>
      <c r="B198">
        <v>1.5520491000000001E-2</v>
      </c>
      <c r="C198">
        <v>1.5381762E-2</v>
      </c>
      <c r="D198">
        <v>4.3768230000000002E-3</v>
      </c>
      <c r="E198">
        <v>1.2414134E-2</v>
      </c>
      <c r="F198">
        <v>9.3135140000000002E-3</v>
      </c>
      <c r="G198">
        <v>5.9891830000000004E-3</v>
      </c>
      <c r="H198">
        <v>8.9343879999999997E-3</v>
      </c>
      <c r="I198">
        <v>1.0575071E-2</v>
      </c>
      <c r="J198">
        <v>4.3436610000000004E-3</v>
      </c>
      <c r="K198">
        <v>1.5381762E-2</v>
      </c>
      <c r="L198">
        <f t="shared" si="23"/>
        <v>9.9617791680615634E-3</v>
      </c>
      <c r="M198">
        <f t="shared" si="24"/>
        <v>7.1118045090814899E-3</v>
      </c>
      <c r="N198">
        <f t="shared" si="25"/>
        <v>1.038069193529069E-2</v>
      </c>
      <c r="O198">
        <f t="shared" si="26"/>
        <v>1.0840605163960595E-2</v>
      </c>
      <c r="P198">
        <f t="shared" si="27"/>
        <v>9.8245643095860192E-3</v>
      </c>
    </row>
    <row r="199" spans="1:16" x14ac:dyDescent="0.25">
      <c r="A199" s="2">
        <v>40099</v>
      </c>
      <c r="B199">
        <v>-1.8431079999999999E-2</v>
      </c>
      <c r="C199">
        <v>-1.4092116999999999E-2</v>
      </c>
      <c r="D199">
        <v>-2.7915040000000002E-3</v>
      </c>
      <c r="E199">
        <v>-1.1988795E-2</v>
      </c>
      <c r="F199">
        <v>-1.0825728E-2</v>
      </c>
      <c r="G199">
        <v>0</v>
      </c>
      <c r="H199">
        <v>0</v>
      </c>
      <c r="I199">
        <v>-1.0315896999999999E-2</v>
      </c>
      <c r="J199" s="1">
        <v>4.4805699999999997E-5</v>
      </c>
      <c r="K199">
        <v>-1.4092116999999999E-2</v>
      </c>
      <c r="L199">
        <f t="shared" si="23"/>
        <v>-4.3976910373973443E-3</v>
      </c>
      <c r="M199">
        <f t="shared" si="24"/>
        <v>-1.2178400878843487E-3</v>
      </c>
      <c r="N199">
        <f t="shared" si="25"/>
        <v>-4.6467961413342862E-3</v>
      </c>
      <c r="O199">
        <f t="shared" si="26"/>
        <v>-5.0449408235859099E-3</v>
      </c>
      <c r="P199">
        <f t="shared" si="27"/>
        <v>-5.0271068653633521E-3</v>
      </c>
    </row>
    <row r="200" spans="1:16" x14ac:dyDescent="0.25">
      <c r="A200" s="2">
        <v>40100</v>
      </c>
      <c r="B200">
        <v>1.8883891999999999E-2</v>
      </c>
      <c r="C200">
        <v>2.6777977000000001E-2</v>
      </c>
      <c r="D200">
        <v>1.7393670999999999E-2</v>
      </c>
      <c r="E200">
        <v>2.4175548000000002E-2</v>
      </c>
      <c r="F200">
        <v>1.9596791999999998E-2</v>
      </c>
      <c r="G200">
        <v>-1.623895E-3</v>
      </c>
      <c r="H200">
        <v>2.3769337000000001E-2</v>
      </c>
      <c r="I200">
        <v>1.9869577999999999E-2</v>
      </c>
      <c r="J200">
        <v>1.6426626999999999E-2</v>
      </c>
      <c r="K200">
        <v>2.6777977000000001E-2</v>
      </c>
      <c r="L200">
        <f t="shared" si="23"/>
        <v>2.3196907052090539E-2</v>
      </c>
      <c r="M200">
        <f t="shared" si="24"/>
        <v>1.2633685053342971E-2</v>
      </c>
      <c r="N200">
        <f t="shared" si="25"/>
        <v>2.2987022331802418E-2</v>
      </c>
      <c r="O200">
        <f t="shared" si="26"/>
        <v>2.0688492044348479E-2</v>
      </c>
      <c r="P200">
        <f t="shared" si="27"/>
        <v>2.3610436903041192E-2</v>
      </c>
    </row>
    <row r="201" spans="1:16" x14ac:dyDescent="0.25">
      <c r="A201" s="2">
        <v>40101</v>
      </c>
      <c r="B201">
        <v>-1.6091099999999999E-4</v>
      </c>
      <c r="C201">
        <v>1.9263069999999999E-3</v>
      </c>
      <c r="D201">
        <v>4.1488150000000001E-3</v>
      </c>
      <c r="E201">
        <v>-4.0000360000000002E-3</v>
      </c>
      <c r="F201">
        <v>-6.317357E-3</v>
      </c>
      <c r="G201">
        <v>1.7581736000000001E-2</v>
      </c>
      <c r="H201">
        <v>7.5543609999999999E-3</v>
      </c>
      <c r="I201">
        <v>-4.1180310000000003E-3</v>
      </c>
      <c r="J201">
        <v>1.776709E-3</v>
      </c>
      <c r="K201">
        <v>1.9263069999999999E-3</v>
      </c>
      <c r="L201">
        <f t="shared" si="23"/>
        <v>1.3057133171379286E-3</v>
      </c>
      <c r="M201">
        <f t="shared" si="24"/>
        <v>3.1449175775766247E-3</v>
      </c>
      <c r="N201">
        <f t="shared" si="25"/>
        <v>1.5662921166761615E-3</v>
      </c>
      <c r="O201">
        <f t="shared" si="26"/>
        <v>3.3973526437543989E-3</v>
      </c>
      <c r="P201">
        <f t="shared" si="27"/>
        <v>3.734473508947584E-4</v>
      </c>
    </row>
    <row r="202" spans="1:16" x14ac:dyDescent="0.25">
      <c r="A202" s="2">
        <v>40102</v>
      </c>
      <c r="B202">
        <v>-2.4346941E-2</v>
      </c>
      <c r="C202">
        <v>-3.4743583000000001E-2</v>
      </c>
      <c r="D202">
        <v>-8.1310189999999997E-3</v>
      </c>
      <c r="E202">
        <v>-1.5099438999999999E-2</v>
      </c>
      <c r="F202">
        <v>-6.2997169999999998E-3</v>
      </c>
      <c r="G202">
        <v>1.8452200000000001E-3</v>
      </c>
      <c r="H202">
        <v>-7.5694660000000004E-3</v>
      </c>
      <c r="I202">
        <v>-9.1674730000000006E-3</v>
      </c>
      <c r="J202">
        <v>-6.19924E-3</v>
      </c>
      <c r="K202">
        <v>-3.4743583000000001E-2</v>
      </c>
      <c r="L202">
        <f t="shared" si="23"/>
        <v>-9.3782759059948349E-3</v>
      </c>
      <c r="M202">
        <f t="shared" si="24"/>
        <v>-2.398159692867777E-3</v>
      </c>
      <c r="N202">
        <f t="shared" si="25"/>
        <v>-8.1305519063428443E-3</v>
      </c>
      <c r="O202">
        <f t="shared" si="26"/>
        <v>-7.06175753450614E-3</v>
      </c>
      <c r="P202">
        <f t="shared" si="27"/>
        <v>-8.5471100245490417E-3</v>
      </c>
    </row>
    <row r="203" spans="1:16" x14ac:dyDescent="0.25">
      <c r="A203" s="2">
        <v>40105</v>
      </c>
      <c r="B203">
        <v>9.9153839999999993E-3</v>
      </c>
      <c r="C203">
        <v>1.0606877000000001E-2</v>
      </c>
      <c r="D203">
        <v>9.3613849999999998E-3</v>
      </c>
      <c r="E203">
        <v>1.8829544E-2</v>
      </c>
      <c r="F203">
        <v>1.7437916000000001E-2</v>
      </c>
      <c r="G203">
        <v>-2.0542529999999998E-3</v>
      </c>
      <c r="H203">
        <v>1.5572973E-2</v>
      </c>
      <c r="I203">
        <v>1.594895E-2</v>
      </c>
      <c r="J203">
        <v>1.0830678999999999E-2</v>
      </c>
      <c r="K203">
        <v>1.0606877000000001E-2</v>
      </c>
      <c r="L203">
        <f t="shared" si="23"/>
        <v>1.6026128656092514E-2</v>
      </c>
      <c r="M203">
        <f t="shared" si="24"/>
        <v>9.8140874376859439E-3</v>
      </c>
      <c r="N203">
        <f t="shared" si="25"/>
        <v>1.7004975428844923E-2</v>
      </c>
      <c r="O203">
        <f t="shared" si="26"/>
        <v>1.5643787735866544E-2</v>
      </c>
      <c r="P203">
        <f t="shared" si="27"/>
        <v>1.7225270347270678E-2</v>
      </c>
    </row>
    <row r="204" spans="1:16" x14ac:dyDescent="0.25">
      <c r="A204" s="2">
        <v>40106</v>
      </c>
      <c r="B204">
        <v>1.507818E-2</v>
      </c>
      <c r="C204">
        <v>1.8463330999999999E-2</v>
      </c>
      <c r="D204">
        <v>-6.2586719999999998E-3</v>
      </c>
      <c r="E204">
        <v>-6.9940009999999997E-3</v>
      </c>
      <c r="F204">
        <v>-7.2400049999999999E-3</v>
      </c>
      <c r="G204">
        <v>9.7534719999999991E-3</v>
      </c>
      <c r="H204">
        <v>-2.9215458999999999E-2</v>
      </c>
      <c r="I204">
        <v>-5.8588889999999999E-3</v>
      </c>
      <c r="J204">
        <v>-3.2481570000000002E-3</v>
      </c>
      <c r="K204">
        <v>1.8463330999999999E-2</v>
      </c>
      <c r="L204">
        <f t="shared" si="23"/>
        <v>3.9163976019107195E-3</v>
      </c>
      <c r="M204">
        <f t="shared" si="24"/>
        <v>-1.7760317342421796E-3</v>
      </c>
      <c r="N204">
        <f t="shared" si="25"/>
        <v>-1.6612826341862795E-3</v>
      </c>
      <c r="O204">
        <f t="shared" si="26"/>
        <v>-2.3167777216398745E-3</v>
      </c>
      <c r="P204">
        <f t="shared" si="27"/>
        <v>2.98799003816554E-3</v>
      </c>
    </row>
    <row r="205" spans="1:16" x14ac:dyDescent="0.25">
      <c r="A205" s="2">
        <v>40107</v>
      </c>
      <c r="B205">
        <v>4.7743990000000004E-3</v>
      </c>
      <c r="C205">
        <v>-3.0195019999999999E-3</v>
      </c>
      <c r="D205">
        <v>-8.8932030000000006E-3</v>
      </c>
      <c r="E205">
        <v>3.7302770000000002E-3</v>
      </c>
      <c r="F205">
        <v>2.7615650000000001E-3</v>
      </c>
      <c r="G205">
        <v>-3.3381300000000002E-4</v>
      </c>
      <c r="H205">
        <v>2.7984020000000002E-3</v>
      </c>
      <c r="I205">
        <v>1.612484E-3</v>
      </c>
      <c r="J205">
        <v>-2.4971659999999999E-3</v>
      </c>
      <c r="K205">
        <v>-3.0195019999999999E-3</v>
      </c>
      <c r="L205">
        <f t="shared" si="23"/>
        <v>-3.6288573842181474E-3</v>
      </c>
      <c r="M205">
        <f t="shared" si="24"/>
        <v>2.2854894222252091E-3</v>
      </c>
      <c r="N205">
        <f t="shared" si="25"/>
        <v>-1.1788423793765435E-4</v>
      </c>
      <c r="O205">
        <f t="shared" si="26"/>
        <v>1.3204557672927945E-3</v>
      </c>
      <c r="P205">
        <f t="shared" si="27"/>
        <v>-2.59209652825603E-3</v>
      </c>
    </row>
    <row r="206" spans="1:16" x14ac:dyDescent="0.25">
      <c r="A206" s="2">
        <v>40108</v>
      </c>
      <c r="B206">
        <v>-5.4412109999999996E-3</v>
      </c>
      <c r="C206">
        <v>-9.2809680000000006E-3</v>
      </c>
      <c r="D206">
        <v>1.0587366000000001E-2</v>
      </c>
      <c r="E206">
        <v>-1.2169423E-2</v>
      </c>
      <c r="F206">
        <v>-9.6510169999999996E-3</v>
      </c>
      <c r="G206">
        <v>-6.4289739999999996E-3</v>
      </c>
      <c r="H206">
        <v>9.8617280000000002E-3</v>
      </c>
      <c r="I206">
        <v>-1.0527017E-2</v>
      </c>
      <c r="J206">
        <v>-5.0116149999999996E-3</v>
      </c>
      <c r="K206">
        <v>-9.2809680000000006E-3</v>
      </c>
      <c r="L206">
        <f t="shared" si="23"/>
        <v>-1.1222825266010919E-2</v>
      </c>
      <c r="M206">
        <f t="shared" si="24"/>
        <v>-5.9044942012171286E-4</v>
      </c>
      <c r="N206">
        <f t="shared" si="25"/>
        <v>-9.7587572694201319E-3</v>
      </c>
      <c r="O206">
        <f t="shared" si="26"/>
        <v>-7.0036525640296944E-3</v>
      </c>
      <c r="P206">
        <f t="shared" si="27"/>
        <v>-1.1421836144955426E-2</v>
      </c>
    </row>
    <row r="207" spans="1:16" x14ac:dyDescent="0.25">
      <c r="A207" s="2">
        <v>40109</v>
      </c>
      <c r="B207">
        <v>7.1058680000000004E-3</v>
      </c>
      <c r="C207">
        <v>1.0879517999999999E-2</v>
      </c>
      <c r="D207">
        <v>-1.2253261E-2</v>
      </c>
      <c r="E207">
        <v>-3.9432629999999998E-3</v>
      </c>
      <c r="F207">
        <v>6.736868E-3</v>
      </c>
      <c r="G207">
        <v>1.539648E-3</v>
      </c>
      <c r="H207">
        <v>-1.6403556999999999E-2</v>
      </c>
      <c r="I207">
        <v>-7.7807600000000005E-4</v>
      </c>
      <c r="J207">
        <v>3.9199969999999997E-3</v>
      </c>
      <c r="K207">
        <v>1.0879517999999999E-2</v>
      </c>
      <c r="L207">
        <f t="shared" si="23"/>
        <v>4.2454173291338743E-3</v>
      </c>
      <c r="M207">
        <f t="shared" si="24"/>
        <v>8.0474352270344229E-4</v>
      </c>
      <c r="N207">
        <f t="shared" si="25"/>
        <v>4.6971722209141788E-3</v>
      </c>
      <c r="O207">
        <f t="shared" si="26"/>
        <v>2.1050599302467176E-3</v>
      </c>
      <c r="P207">
        <f t="shared" si="27"/>
        <v>7.704743383594316E-3</v>
      </c>
    </row>
    <row r="208" spans="1:16" x14ac:dyDescent="0.25">
      <c r="A208" s="2">
        <v>40112</v>
      </c>
      <c r="B208">
        <v>-2.9345880000000001E-3</v>
      </c>
      <c r="C208">
        <v>-1.0121662999999999E-2</v>
      </c>
      <c r="D208">
        <v>-1.1786491E-2</v>
      </c>
      <c r="E208">
        <v>-1.7235792E-2</v>
      </c>
      <c r="F208">
        <v>-9.7563619999999993E-3</v>
      </c>
      <c r="G208">
        <v>7.714027E-3</v>
      </c>
      <c r="H208">
        <v>4.1492200000000002E-4</v>
      </c>
      <c r="I208">
        <v>-1.3986319000000001E-2</v>
      </c>
      <c r="J208">
        <v>2.5568599999999998E-4</v>
      </c>
      <c r="K208">
        <v>-1.0121662999999999E-2</v>
      </c>
      <c r="L208">
        <f t="shared" si="23"/>
        <v>-9.4082441610159728E-3</v>
      </c>
      <c r="M208">
        <f t="shared" si="24"/>
        <v>-1.9794116998023731E-3</v>
      </c>
      <c r="N208">
        <f t="shared" si="25"/>
        <v>-5.8671619510773281E-3</v>
      </c>
      <c r="O208">
        <f t="shared" si="26"/>
        <v>-5.758343764668915E-3</v>
      </c>
      <c r="P208">
        <f t="shared" si="27"/>
        <v>-7.6078697717379441E-3</v>
      </c>
    </row>
    <row r="209" spans="1:16" x14ac:dyDescent="0.25">
      <c r="A209" s="2">
        <v>40113</v>
      </c>
      <c r="B209">
        <v>-1.632457E-2</v>
      </c>
      <c r="C209">
        <v>-2.6367551999999999E-2</v>
      </c>
      <c r="D209">
        <v>-3.3233849999999999E-3</v>
      </c>
      <c r="E209">
        <v>-1.266274E-3</v>
      </c>
      <c r="F209">
        <v>1.789718E-3</v>
      </c>
      <c r="G209">
        <v>-1.4596557E-2</v>
      </c>
      <c r="H209">
        <v>-3.0022449999999999E-2</v>
      </c>
      <c r="I209">
        <v>5.5035900000000005E-4</v>
      </c>
      <c r="J209">
        <v>-1.4859631999999999E-2</v>
      </c>
      <c r="K209">
        <v>-2.6367551999999999E-2</v>
      </c>
      <c r="L209">
        <f t="shared" si="23"/>
        <v>-5.9318986564189016E-3</v>
      </c>
      <c r="M209">
        <f t="shared" si="24"/>
        <v>-2.6841893380894354E-3</v>
      </c>
      <c r="N209">
        <f t="shared" si="25"/>
        <v>-9.3083033616121538E-3</v>
      </c>
      <c r="O209">
        <f t="shared" si="26"/>
        <v>-7.3631631439303848E-3</v>
      </c>
      <c r="P209">
        <f t="shared" si="27"/>
        <v>-5.8111307169420555E-3</v>
      </c>
    </row>
    <row r="210" spans="1:16" x14ac:dyDescent="0.25">
      <c r="A210" s="2">
        <v>40114</v>
      </c>
      <c r="B210">
        <v>-3.0082971E-2</v>
      </c>
      <c r="C210">
        <v>-3.0080424000000001E-2</v>
      </c>
      <c r="D210">
        <v>-1.9734359E-2</v>
      </c>
      <c r="E210">
        <v>-2.4931016E-2</v>
      </c>
      <c r="F210">
        <v>-2.3460915999999998E-2</v>
      </c>
      <c r="G210">
        <v>-1.3546473E-2</v>
      </c>
      <c r="H210">
        <v>-4.8646097999999999E-2</v>
      </c>
      <c r="I210">
        <v>-2.1614441000000002E-2</v>
      </c>
      <c r="J210">
        <v>-2.5950649999999999E-2</v>
      </c>
      <c r="K210">
        <v>-3.0080424000000001E-2</v>
      </c>
      <c r="L210">
        <f t="shared" si="23"/>
        <v>-2.4220800540020068E-2</v>
      </c>
      <c r="M210">
        <f t="shared" si="24"/>
        <v>-1.2904584764796004E-2</v>
      </c>
      <c r="N210">
        <f t="shared" si="25"/>
        <v>-2.878566679828292E-2</v>
      </c>
      <c r="O210">
        <f t="shared" si="26"/>
        <v>-2.5953792718878432E-2</v>
      </c>
      <c r="P210">
        <f t="shared" si="27"/>
        <v>-2.6033327910055425E-2</v>
      </c>
    </row>
    <row r="211" spans="1:16" x14ac:dyDescent="0.25">
      <c r="A211" s="2">
        <v>40116</v>
      </c>
      <c r="B211">
        <v>-3.5849614000000002E-2</v>
      </c>
      <c r="C211">
        <v>-3.6051349000000003E-2</v>
      </c>
      <c r="D211">
        <v>-6.195842E-3</v>
      </c>
      <c r="E211">
        <v>-1.4904186999999999E-2</v>
      </c>
      <c r="F211">
        <v>-7.0914580000000001E-3</v>
      </c>
      <c r="G211">
        <v>-4.0089979999999997E-3</v>
      </c>
      <c r="H211">
        <v>2.2743939000000001E-2</v>
      </c>
      <c r="I211">
        <v>-5.0984680000000001E-3</v>
      </c>
      <c r="J211">
        <v>-6.025E-3</v>
      </c>
      <c r="K211">
        <v>-3.6051349000000003E-2</v>
      </c>
      <c r="L211">
        <f t="shared" si="23"/>
        <v>-1.3071820241152979E-2</v>
      </c>
      <c r="M211">
        <f t="shared" si="24"/>
        <v>-2.4655582442071038E-4</v>
      </c>
      <c r="N211">
        <f t="shared" si="25"/>
        <v>-8.4598172644020884E-3</v>
      </c>
      <c r="O211">
        <f t="shared" si="26"/>
        <v>-6.8045949461853763E-3</v>
      </c>
      <c r="P211">
        <f t="shared" si="27"/>
        <v>-1.4669234007522037E-2</v>
      </c>
    </row>
    <row r="212" spans="1:16" x14ac:dyDescent="0.25">
      <c r="A212" s="2">
        <v>40119</v>
      </c>
      <c r="B212">
        <v>5.7353839999999996E-3</v>
      </c>
      <c r="C212">
        <v>-1.328301E-3</v>
      </c>
      <c r="D212">
        <v>6.4355920000000004E-3</v>
      </c>
      <c r="E212">
        <v>2.9246419999999999E-3</v>
      </c>
      <c r="F212">
        <v>1.1823963E-2</v>
      </c>
      <c r="G212">
        <v>-2.3369712000000001E-2</v>
      </c>
      <c r="H212">
        <v>1.7667081000000001E-2</v>
      </c>
      <c r="I212">
        <v>6.4160609999999998E-3</v>
      </c>
      <c r="J212">
        <v>-1.5357579999999999E-3</v>
      </c>
      <c r="K212">
        <v>-1.328301E-3</v>
      </c>
      <c r="L212">
        <f t="shared" si="23"/>
        <v>-4.6719692675317032E-3</v>
      </c>
      <c r="M212">
        <f t="shared" si="24"/>
        <v>3.7895346556638121E-3</v>
      </c>
      <c r="N212">
        <f t="shared" si="25"/>
        <v>-1.3454305152253362E-4</v>
      </c>
      <c r="O212">
        <f t="shared" si="26"/>
        <v>5.603537344189693E-4</v>
      </c>
      <c r="P212">
        <f t="shared" si="27"/>
        <v>-2.4914121276308084E-3</v>
      </c>
    </row>
    <row r="213" spans="1:16" x14ac:dyDescent="0.25">
      <c r="A213" s="2">
        <v>40120</v>
      </c>
      <c r="B213">
        <v>-2.3906589999999998E-2</v>
      </c>
      <c r="C213">
        <v>-3.0117918E-2</v>
      </c>
      <c r="D213">
        <v>2.4230359999999999E-3</v>
      </c>
      <c r="E213">
        <v>-1.4367602E-2</v>
      </c>
      <c r="F213">
        <v>-1.3272131E-2</v>
      </c>
      <c r="G213">
        <v>4.2102629999999997E-3</v>
      </c>
      <c r="H213">
        <v>0</v>
      </c>
      <c r="I213">
        <v>-1.4107112E-2</v>
      </c>
      <c r="J213">
        <v>-7.3530449999999999E-3</v>
      </c>
      <c r="K213">
        <v>-3.0117918E-2</v>
      </c>
      <c r="L213">
        <f t="shared" si="23"/>
        <v>-1.3383703566389021E-2</v>
      </c>
      <c r="M213">
        <f t="shared" si="24"/>
        <v>-2.1087683744628652E-3</v>
      </c>
      <c r="N213">
        <f t="shared" si="25"/>
        <v>-1.176655450352132E-2</v>
      </c>
      <c r="O213">
        <f t="shared" si="26"/>
        <v>-8.1797595575476018E-3</v>
      </c>
      <c r="P213">
        <f t="shared" si="27"/>
        <v>-1.3293591946737094E-2</v>
      </c>
    </row>
    <row r="214" spans="1:16" x14ac:dyDescent="0.25">
      <c r="A214" s="2">
        <v>40121</v>
      </c>
      <c r="B214">
        <v>2.0219134999999999E-2</v>
      </c>
      <c r="C214">
        <v>2.8040939000000001E-2</v>
      </c>
      <c r="D214">
        <v>1.04211E-3</v>
      </c>
      <c r="E214">
        <v>1.6833799E-2</v>
      </c>
      <c r="F214">
        <v>1.3937989E-2</v>
      </c>
      <c r="G214">
        <v>0</v>
      </c>
      <c r="H214">
        <v>2.007084E-2</v>
      </c>
      <c r="I214">
        <v>1.6556042E-2</v>
      </c>
      <c r="J214">
        <v>1.8558259000000001E-2</v>
      </c>
      <c r="K214">
        <v>2.8040939000000001E-2</v>
      </c>
      <c r="L214">
        <f t="shared" si="23"/>
        <v>2.3690198478520851E-2</v>
      </c>
      <c r="M214">
        <f t="shared" si="24"/>
        <v>1.0053842539617155E-2</v>
      </c>
      <c r="N214">
        <f t="shared" si="25"/>
        <v>2.2904601535579321E-2</v>
      </c>
      <c r="O214">
        <f t="shared" si="26"/>
        <v>1.7561131681408361E-2</v>
      </c>
      <c r="P214">
        <f t="shared" si="27"/>
        <v>2.2844447406634563E-2</v>
      </c>
    </row>
    <row r="215" spans="1:16" x14ac:dyDescent="0.25">
      <c r="A215" s="2">
        <v>40122</v>
      </c>
      <c r="B215">
        <v>3.5102799999999997E-4</v>
      </c>
      <c r="C215">
        <v>4.5216309999999999E-3</v>
      </c>
      <c r="D215">
        <v>1.9052883E-2</v>
      </c>
      <c r="E215">
        <v>6.7166379999999996E-3</v>
      </c>
      <c r="F215">
        <v>3.4592300000000002E-3</v>
      </c>
      <c r="G215">
        <v>-1.2971414000000001E-2</v>
      </c>
      <c r="H215">
        <v>1.4029702999999999E-2</v>
      </c>
      <c r="I215">
        <v>6.4500390000000003E-3</v>
      </c>
      <c r="J215">
        <v>2.3635800000000001E-3</v>
      </c>
      <c r="K215">
        <v>4.5216309999999999E-3</v>
      </c>
      <c r="L215">
        <f t="shared" si="23"/>
        <v>6.5738674458411164E-3</v>
      </c>
      <c r="M215">
        <f t="shared" si="24"/>
        <v>5.2519553932643993E-3</v>
      </c>
      <c r="N215">
        <f t="shared" si="25"/>
        <v>4.3650419992728E-3</v>
      </c>
      <c r="O215">
        <f t="shared" si="26"/>
        <v>4.4887030902420813E-3</v>
      </c>
      <c r="P215">
        <f t="shared" si="27"/>
        <v>4.7592112782195778E-3</v>
      </c>
    </row>
    <row r="216" spans="1:16" x14ac:dyDescent="0.25">
      <c r="A216" s="2">
        <v>40123</v>
      </c>
      <c r="B216">
        <v>-6.9620990000000002E-3</v>
      </c>
      <c r="C216">
        <v>-1.0138320000000001E-3</v>
      </c>
      <c r="D216">
        <v>2.5000830000000002E-3</v>
      </c>
      <c r="E216">
        <v>1.3364729999999999E-3</v>
      </c>
      <c r="F216">
        <v>3.330642E-3</v>
      </c>
      <c r="G216">
        <v>7.3728509999999997E-3</v>
      </c>
      <c r="H216">
        <v>-5.414533E-3</v>
      </c>
      <c r="I216">
        <v>1.3805449999999999E-3</v>
      </c>
      <c r="J216">
        <v>4.1299329999999997E-3</v>
      </c>
      <c r="K216">
        <v>-1.0138320000000001E-3</v>
      </c>
      <c r="L216">
        <f t="shared" si="23"/>
        <v>7.4822381702124054E-3</v>
      </c>
      <c r="M216">
        <f t="shared" si="24"/>
        <v>3.4950215417531593E-3</v>
      </c>
      <c r="N216">
        <f t="shared" si="25"/>
        <v>6.1558580891668312E-3</v>
      </c>
      <c r="O216">
        <f t="shared" si="26"/>
        <v>5.5982422234734782E-3</v>
      </c>
      <c r="P216">
        <f t="shared" si="27"/>
        <v>8.4188856790147863E-3</v>
      </c>
    </row>
    <row r="217" spans="1:16" x14ac:dyDescent="0.25">
      <c r="A217" s="2">
        <v>40126</v>
      </c>
      <c r="B217">
        <v>1.6985685E-2</v>
      </c>
      <c r="C217">
        <v>2.2223315E-2</v>
      </c>
      <c r="D217">
        <v>2.1995171000000001E-2</v>
      </c>
      <c r="E217">
        <v>2.3672397000000001E-2</v>
      </c>
      <c r="F217">
        <v>1.7826814999999999E-2</v>
      </c>
      <c r="G217">
        <v>2.0042520000000002E-3</v>
      </c>
      <c r="H217">
        <v>2.6753967999999999E-2</v>
      </c>
      <c r="I217">
        <v>1.9047949000000002E-2</v>
      </c>
      <c r="J217">
        <v>1.7839994000000001E-2</v>
      </c>
      <c r="K217">
        <v>2.2223315E-2</v>
      </c>
      <c r="L217">
        <f t="shared" si="23"/>
        <v>2.4664842170994249E-2</v>
      </c>
      <c r="M217">
        <f t="shared" si="24"/>
        <v>1.3282909055034434E-2</v>
      </c>
      <c r="N217">
        <f t="shared" si="25"/>
        <v>2.3827337587609076E-2</v>
      </c>
      <c r="O217">
        <f t="shared" si="26"/>
        <v>2.1764773505002655E-2</v>
      </c>
      <c r="P217">
        <f t="shared" si="27"/>
        <v>2.4590444817988177E-2</v>
      </c>
    </row>
    <row r="218" spans="1:16" x14ac:dyDescent="0.25">
      <c r="A218" s="2">
        <v>40127</v>
      </c>
      <c r="B218">
        <v>7.5189899999999997E-3</v>
      </c>
      <c r="C218">
        <v>7.6537690000000004E-3</v>
      </c>
      <c r="D218" s="1">
        <v>-6.40413E-5</v>
      </c>
      <c r="E218">
        <v>-1.1608740000000001E-3</v>
      </c>
      <c r="F218">
        <v>-8.9817200000000003E-4</v>
      </c>
      <c r="G218">
        <v>6.2744999999999997E-3</v>
      </c>
      <c r="H218">
        <v>1.3432240000000001E-3</v>
      </c>
      <c r="I218">
        <v>-2.3555239999999999E-3</v>
      </c>
      <c r="J218">
        <v>4.411033E-3</v>
      </c>
      <c r="K218">
        <v>7.6537690000000004E-3</v>
      </c>
      <c r="L218">
        <f t="shared" si="23"/>
        <v>3.2603435564285614E-3</v>
      </c>
      <c r="M218">
        <f t="shared" si="24"/>
        <v>2.7476958855136594E-3</v>
      </c>
      <c r="N218">
        <f t="shared" si="25"/>
        <v>3.7189585980737846E-3</v>
      </c>
      <c r="O218">
        <f t="shared" si="26"/>
        <v>3.3959896704135011E-3</v>
      </c>
      <c r="P218">
        <f t="shared" si="27"/>
        <v>4.0730807495685476E-3</v>
      </c>
    </row>
    <row r="219" spans="1:16" x14ac:dyDescent="0.25">
      <c r="A219" s="2">
        <v>40128</v>
      </c>
      <c r="B219">
        <v>1.5029496E-2</v>
      </c>
      <c r="C219">
        <v>1.7689104000000001E-2</v>
      </c>
      <c r="D219">
        <v>5.0193579999999998E-3</v>
      </c>
      <c r="E219">
        <v>9.7771030000000005E-3</v>
      </c>
      <c r="F219">
        <v>6.9160920000000004E-3</v>
      </c>
      <c r="G219" s="1">
        <v>9.6239500000000006E-5</v>
      </c>
      <c r="H219">
        <v>1.92867E-3</v>
      </c>
      <c r="I219">
        <v>6.4807600000000003E-3</v>
      </c>
      <c r="J219">
        <v>7.9785840000000004E-3</v>
      </c>
      <c r="K219">
        <v>1.7689104000000001E-2</v>
      </c>
      <c r="L219">
        <f t="shared" si="23"/>
        <v>1.2005037965216384E-2</v>
      </c>
      <c r="M219">
        <f t="shared" si="24"/>
        <v>5.6809398238330446E-3</v>
      </c>
      <c r="N219">
        <f t="shared" si="25"/>
        <v>1.0710848438889732E-2</v>
      </c>
      <c r="O219">
        <f t="shared" si="26"/>
        <v>9.0963356643982592E-3</v>
      </c>
      <c r="P219">
        <f t="shared" si="27"/>
        <v>1.2483957785378771E-2</v>
      </c>
    </row>
    <row r="220" spans="1:16" x14ac:dyDescent="0.25">
      <c r="A220" s="2">
        <v>40129</v>
      </c>
      <c r="B220">
        <v>-2.4171710000000001E-3</v>
      </c>
      <c r="C220">
        <v>-6.9179419999999998E-3</v>
      </c>
      <c r="D220">
        <v>-1.0312340999999999E-2</v>
      </c>
      <c r="E220">
        <v>-7.7477600000000002E-4</v>
      </c>
      <c r="F220">
        <v>1.8400319999999999E-3</v>
      </c>
      <c r="G220">
        <v>-6.829608E-3</v>
      </c>
      <c r="H220">
        <v>-3.0305117999999999E-2</v>
      </c>
      <c r="I220">
        <v>-1.05516E-4</v>
      </c>
      <c r="J220">
        <v>-1.0681845000000001E-2</v>
      </c>
      <c r="K220">
        <v>-6.9179419999999998E-3</v>
      </c>
      <c r="L220">
        <f t="shared" si="23"/>
        <v>-3.3264062432588801E-3</v>
      </c>
      <c r="M220">
        <f t="shared" si="24"/>
        <v>-2.1529882097290911E-3</v>
      </c>
      <c r="N220">
        <f t="shared" si="25"/>
        <v>-5.7467441095061522E-3</v>
      </c>
      <c r="O220">
        <f t="shared" si="26"/>
        <v>-4.8412612388451445E-3</v>
      </c>
      <c r="P220">
        <f t="shared" si="27"/>
        <v>-2.5362219219075229E-3</v>
      </c>
    </row>
    <row r="221" spans="1:16" x14ac:dyDescent="0.25">
      <c r="A221" s="2">
        <v>40130</v>
      </c>
      <c r="B221">
        <v>-6.2586170000000002E-3</v>
      </c>
      <c r="C221">
        <v>-9.0445609999999996E-3</v>
      </c>
      <c r="D221">
        <v>5.7228959999999999E-3</v>
      </c>
      <c r="E221">
        <v>4.0296810000000002E-3</v>
      </c>
      <c r="F221">
        <v>3.7643450000000001E-3</v>
      </c>
      <c r="G221">
        <v>-3.4922489999999998E-3</v>
      </c>
      <c r="H221">
        <v>1.3531422E-2</v>
      </c>
      <c r="I221">
        <v>1.9302779999999999E-3</v>
      </c>
      <c r="J221">
        <v>2.916671E-3</v>
      </c>
      <c r="K221">
        <v>-9.0445609999999996E-3</v>
      </c>
      <c r="L221">
        <f t="shared" si="23"/>
        <v>5.3099122468644282E-4</v>
      </c>
      <c r="M221">
        <f t="shared" si="24"/>
        <v>4.4336879141104527E-3</v>
      </c>
      <c r="N221">
        <f t="shared" si="25"/>
        <v>3.2082145797714045E-3</v>
      </c>
      <c r="O221">
        <f t="shared" si="26"/>
        <v>4.1010979701437333E-3</v>
      </c>
      <c r="P221">
        <f t="shared" si="27"/>
        <v>1.5785955139029722E-3</v>
      </c>
    </row>
    <row r="222" spans="1:16" x14ac:dyDescent="0.25">
      <c r="A222" s="2">
        <v>40133</v>
      </c>
      <c r="B222">
        <v>6.8586899999999998E-3</v>
      </c>
      <c r="C222">
        <v>1.0121533E-2</v>
      </c>
      <c r="D222">
        <v>1.4363915E-2</v>
      </c>
      <c r="E222">
        <v>2.0535632000000002E-2</v>
      </c>
      <c r="F222">
        <v>1.6162763E-2</v>
      </c>
      <c r="G222">
        <v>2.133785E-3</v>
      </c>
      <c r="H222">
        <v>1.9719780999999999E-2</v>
      </c>
      <c r="I222">
        <v>1.4123227E-2</v>
      </c>
      <c r="J222">
        <v>1.5692939999999999E-2</v>
      </c>
      <c r="K222">
        <v>1.0121533E-2</v>
      </c>
      <c r="L222">
        <f t="shared" si="23"/>
        <v>1.8831739985005511E-2</v>
      </c>
      <c r="M222">
        <f t="shared" si="24"/>
        <v>1.1132032932582997E-2</v>
      </c>
      <c r="N222">
        <f t="shared" si="25"/>
        <v>1.9927166231803666E-2</v>
      </c>
      <c r="O222">
        <f t="shared" si="26"/>
        <v>1.8370193444099365E-2</v>
      </c>
      <c r="P222">
        <f t="shared" si="27"/>
        <v>2.0506673594360397E-2</v>
      </c>
    </row>
    <row r="223" spans="1:16" x14ac:dyDescent="0.25">
      <c r="A223" s="2">
        <v>40134</v>
      </c>
      <c r="B223">
        <v>-3.1914469000000001E-2</v>
      </c>
      <c r="C223">
        <v>-3.4907070999999998E-2</v>
      </c>
      <c r="D223">
        <v>9.1907600000000001E-4</v>
      </c>
      <c r="E223">
        <v>-4.556587E-3</v>
      </c>
      <c r="F223">
        <v>-6.8601950000000004E-3</v>
      </c>
      <c r="G223">
        <v>-6.2752789999999999E-3</v>
      </c>
      <c r="H223">
        <v>1.1624134E-2</v>
      </c>
      <c r="I223">
        <v>-6.568908E-3</v>
      </c>
      <c r="J223">
        <v>9.1743700000000001E-4</v>
      </c>
      <c r="K223">
        <v>-3.4907070999999998E-2</v>
      </c>
      <c r="L223">
        <f t="shared" si="23"/>
        <v>-5.4167612141933722E-3</v>
      </c>
      <c r="M223">
        <f t="shared" si="24"/>
        <v>9.2233995505113485E-4</v>
      </c>
      <c r="N223">
        <f t="shared" si="25"/>
        <v>-3.2355186018928686E-3</v>
      </c>
      <c r="O223">
        <f t="shared" si="26"/>
        <v>-2.7378233773361696E-3</v>
      </c>
      <c r="P223">
        <f t="shared" si="27"/>
        <v>-5.5872341212064702E-3</v>
      </c>
    </row>
    <row r="224" spans="1:16" x14ac:dyDescent="0.25">
      <c r="A224" s="2">
        <v>40135</v>
      </c>
      <c r="B224">
        <v>-1.7581763E-2</v>
      </c>
      <c r="C224">
        <v>-1.6424899999999999E-2</v>
      </c>
      <c r="D224">
        <v>-4.6844299999999997E-4</v>
      </c>
      <c r="E224">
        <v>1.587406E-3</v>
      </c>
      <c r="F224">
        <v>-7.1107799999999997E-4</v>
      </c>
      <c r="G224">
        <v>-5.4754340000000004E-3</v>
      </c>
      <c r="H224">
        <v>-1.3291515E-2</v>
      </c>
      <c r="I224">
        <v>5.3870299999999997E-4</v>
      </c>
      <c r="J224">
        <v>-1.784346E-3</v>
      </c>
      <c r="K224">
        <v>-1.6424899999999999E-2</v>
      </c>
      <c r="L224">
        <f t="shared" si="23"/>
        <v>3.6724603218244796E-3</v>
      </c>
      <c r="M224">
        <f t="shared" si="24"/>
        <v>7.604012576262662E-4</v>
      </c>
      <c r="N224">
        <f t="shared" si="25"/>
        <v>4.1690340351451048E-4</v>
      </c>
      <c r="O224">
        <f t="shared" si="26"/>
        <v>-2.0307399939958719E-4</v>
      </c>
      <c r="P224">
        <f t="shared" si="27"/>
        <v>2.9420114956147333E-3</v>
      </c>
    </row>
    <row r="225" spans="1:16" x14ac:dyDescent="0.25">
      <c r="A225" s="2">
        <v>40136</v>
      </c>
      <c r="B225">
        <v>-6.5982139999999998E-3</v>
      </c>
      <c r="C225">
        <v>-1.3773196999999999E-2</v>
      </c>
      <c r="D225">
        <v>-1.3516784E-2</v>
      </c>
      <c r="E225">
        <v>-1.4870868000000001E-2</v>
      </c>
      <c r="F225">
        <v>-1.4024999E-2</v>
      </c>
      <c r="G225">
        <v>-1.3245613E-2</v>
      </c>
      <c r="H225">
        <v>-2.8454660000000001E-3</v>
      </c>
      <c r="I225">
        <v>-1.5621595E-2</v>
      </c>
      <c r="J225">
        <v>-5.4479130000000004E-3</v>
      </c>
      <c r="K225">
        <v>-1.3773196999999999E-2</v>
      </c>
      <c r="L225">
        <f t="shared" si="23"/>
        <v>-1.5865934550795883E-2</v>
      </c>
      <c r="M225">
        <f t="shared" si="24"/>
        <v>-4.7979476927525102E-3</v>
      </c>
      <c r="N225">
        <f t="shared" si="25"/>
        <v>-1.2982949941877167E-2</v>
      </c>
      <c r="O225">
        <f t="shared" si="26"/>
        <v>-1.2817995364705043E-2</v>
      </c>
      <c r="P225">
        <f t="shared" si="27"/>
        <v>-1.5338374866026837E-2</v>
      </c>
    </row>
    <row r="226" spans="1:16" x14ac:dyDescent="0.25">
      <c r="A226" s="2">
        <v>40137</v>
      </c>
      <c r="B226">
        <v>-1.9347798999999999E-2</v>
      </c>
      <c r="C226">
        <v>-2.2447374999999999E-2</v>
      </c>
      <c r="D226">
        <v>-3.2200839999999998E-3</v>
      </c>
      <c r="E226">
        <v>-6.8682830000000002E-3</v>
      </c>
      <c r="F226">
        <v>-3.0991270000000001E-3</v>
      </c>
      <c r="G226">
        <v>-5.4380970000000002E-3</v>
      </c>
      <c r="H226">
        <v>7.240748E-3</v>
      </c>
      <c r="I226">
        <v>-5.8524629999999996E-3</v>
      </c>
      <c r="J226">
        <v>-3.1167930000000001E-3</v>
      </c>
      <c r="K226">
        <v>-2.2447374999999999E-2</v>
      </c>
      <c r="L226">
        <f t="shared" si="23"/>
        <v>-9.319891406819155E-3</v>
      </c>
      <c r="M226">
        <f t="shared" si="24"/>
        <v>1.5924961410648114E-4</v>
      </c>
      <c r="N226">
        <f t="shared" si="25"/>
        <v>-5.585433068559075E-3</v>
      </c>
      <c r="O226">
        <f t="shared" si="26"/>
        <v>-4.1003299593772692E-3</v>
      </c>
      <c r="P226">
        <f t="shared" si="27"/>
        <v>-8.1324671449794113E-3</v>
      </c>
    </row>
    <row r="227" spans="1:16" x14ac:dyDescent="0.25">
      <c r="A227" s="2">
        <v>40140</v>
      </c>
      <c r="B227">
        <v>1.2533508E-2</v>
      </c>
      <c r="C227">
        <v>1.3944427000000001E-2</v>
      </c>
      <c r="D227">
        <v>1.3523927E-2</v>
      </c>
      <c r="E227">
        <v>2.4132783000000001E-2</v>
      </c>
      <c r="F227">
        <v>1.9629363E-2</v>
      </c>
      <c r="G227">
        <v>-1.0169798000000001E-2</v>
      </c>
      <c r="H227">
        <v>0</v>
      </c>
      <c r="I227">
        <v>2.0448651000000002E-2</v>
      </c>
      <c r="J227">
        <v>7.9849550000000002E-3</v>
      </c>
      <c r="K227">
        <v>1.3944427000000001E-2</v>
      </c>
      <c r="L227">
        <f t="shared" si="23"/>
        <v>2.1514762666326587E-2</v>
      </c>
      <c r="M227">
        <f t="shared" si="24"/>
        <v>9.27543625792813E-3</v>
      </c>
      <c r="N227">
        <f t="shared" si="25"/>
        <v>1.7621739299995581E-2</v>
      </c>
      <c r="O227">
        <f t="shared" si="26"/>
        <v>1.5471739557232217E-2</v>
      </c>
      <c r="P227">
        <f t="shared" si="27"/>
        <v>2.1401217745223699E-2</v>
      </c>
    </row>
    <row r="228" spans="1:16" x14ac:dyDescent="0.25">
      <c r="A228" s="2">
        <v>40141</v>
      </c>
      <c r="B228">
        <v>-6.3061100000000002E-3</v>
      </c>
      <c r="C228">
        <v>-1.0003918000000001E-2</v>
      </c>
      <c r="D228">
        <v>-5.3348000000000002E-4</v>
      </c>
      <c r="E228">
        <v>-5.5605680000000001E-3</v>
      </c>
      <c r="F228">
        <v>-5.8991699999999996E-3</v>
      </c>
      <c r="G228">
        <v>0</v>
      </c>
      <c r="H228">
        <v>7.5750030000000003E-3</v>
      </c>
      <c r="I228">
        <v>-6.4023329999999996E-3</v>
      </c>
      <c r="J228">
        <v>-4.3663850000000004E-3</v>
      </c>
      <c r="K228">
        <v>-1.0003918000000001E-2</v>
      </c>
      <c r="L228">
        <f t="shared" si="23"/>
        <v>-9.3026997765276488E-3</v>
      </c>
      <c r="M228">
        <f t="shared" si="24"/>
        <v>5.0481021214727551E-4</v>
      </c>
      <c r="N228">
        <f t="shared" si="25"/>
        <v>-6.2045342272470765E-3</v>
      </c>
      <c r="O228">
        <f t="shared" si="26"/>
        <v>-3.5291029912429203E-3</v>
      </c>
      <c r="P228">
        <f t="shared" si="27"/>
        <v>-9.0244112301538608E-3</v>
      </c>
    </row>
    <row r="229" spans="1:16" x14ac:dyDescent="0.25">
      <c r="A229" s="2">
        <v>40142</v>
      </c>
      <c r="B229">
        <v>5.5265000000000002E-4</v>
      </c>
      <c r="C229">
        <v>6.3431379999999999E-3</v>
      </c>
      <c r="D229">
        <v>4.4940249999999996E-3</v>
      </c>
      <c r="E229">
        <v>5.8259820000000004E-3</v>
      </c>
      <c r="F229">
        <v>7.6341960000000002E-3</v>
      </c>
      <c r="G229">
        <v>4.2519339999999997E-3</v>
      </c>
      <c r="H229">
        <v>8.8735659999999994E-3</v>
      </c>
      <c r="I229">
        <v>5.3821900000000002E-3</v>
      </c>
      <c r="J229">
        <v>4.2116319999999999E-3</v>
      </c>
      <c r="K229">
        <v>6.3431379999999999E-3</v>
      </c>
      <c r="L229">
        <f t="shared" si="23"/>
        <v>5.4087000613129484E-3</v>
      </c>
      <c r="M229">
        <f t="shared" si="24"/>
        <v>5.6198126475143729E-3</v>
      </c>
      <c r="N229">
        <f t="shared" si="25"/>
        <v>7.1834764428240052E-3</v>
      </c>
      <c r="O229">
        <f t="shared" si="26"/>
        <v>7.7239231412511667E-3</v>
      </c>
      <c r="P229">
        <f t="shared" si="27"/>
        <v>6.7033379576576166E-3</v>
      </c>
    </row>
    <row r="230" spans="1:16" x14ac:dyDescent="0.25">
      <c r="A230" s="2">
        <v>40148</v>
      </c>
      <c r="B230">
        <v>1.1903098000000001E-2</v>
      </c>
      <c r="C230">
        <v>-8.3895400000000005E-4</v>
      </c>
      <c r="D230">
        <v>-1.594961E-3</v>
      </c>
      <c r="E230">
        <v>-4.5614660000000001E-3</v>
      </c>
      <c r="F230">
        <v>-9.8530349999999996E-3</v>
      </c>
      <c r="G230">
        <v>1.373337E-2</v>
      </c>
      <c r="H230">
        <v>9.2186809999999994E-3</v>
      </c>
      <c r="I230">
        <v>-8.3180249999999997E-3</v>
      </c>
      <c r="J230">
        <v>-4.4156350000000002E-3</v>
      </c>
      <c r="K230">
        <v>-8.3895400000000005E-4</v>
      </c>
      <c r="L230">
        <f t="shared" si="23"/>
        <v>-9.6001308923257221E-3</v>
      </c>
      <c r="M230">
        <f t="shared" si="24"/>
        <v>1.1959204607338535E-3</v>
      </c>
      <c r="N230">
        <f t="shared" si="25"/>
        <v>-5.9072791936272406E-3</v>
      </c>
      <c r="O230">
        <f t="shared" si="26"/>
        <v>-1.6408152120011021E-3</v>
      </c>
      <c r="P230">
        <f t="shared" si="27"/>
        <v>-9.8446336363802924E-3</v>
      </c>
    </row>
    <row r="231" spans="1:16" x14ac:dyDescent="0.25">
      <c r="A231" s="2">
        <v>40149</v>
      </c>
      <c r="B231">
        <v>3.8612982999999997E-2</v>
      </c>
      <c r="C231">
        <v>4.5764354E-2</v>
      </c>
      <c r="D231">
        <v>3.42636E-4</v>
      </c>
      <c r="E231">
        <v>8.77292E-4</v>
      </c>
      <c r="F231">
        <v>2.8572519999999998E-3</v>
      </c>
      <c r="G231">
        <v>3.8308510000000001E-3</v>
      </c>
      <c r="H231">
        <v>1.0061169999999999E-3</v>
      </c>
      <c r="I231">
        <v>2.869599E-3</v>
      </c>
      <c r="J231">
        <v>5.9855339999999998E-3</v>
      </c>
      <c r="K231">
        <v>4.5764354E-2</v>
      </c>
      <c r="L231">
        <f t="shared" si="23"/>
        <v>8.8585432700710853E-3</v>
      </c>
      <c r="M231">
        <f t="shared" si="24"/>
        <v>3.7643341333109107E-3</v>
      </c>
      <c r="N231">
        <f t="shared" si="25"/>
        <v>7.5020295423764384E-3</v>
      </c>
      <c r="O231">
        <f t="shared" si="26"/>
        <v>5.6629234589101489E-3</v>
      </c>
      <c r="P231">
        <f t="shared" si="27"/>
        <v>8.7392481990456426E-3</v>
      </c>
    </row>
    <row r="232" spans="1:16" x14ac:dyDescent="0.25">
      <c r="A232" s="2">
        <v>40150</v>
      </c>
      <c r="B232">
        <v>3.6468358999999999E-2</v>
      </c>
      <c r="C232">
        <v>4.2937261999999997E-2</v>
      </c>
      <c r="D232">
        <v>-8.437646E-3</v>
      </c>
      <c r="E232">
        <v>-1.9615610000000001E-3</v>
      </c>
      <c r="F232">
        <v>-2.7066669999999998E-3</v>
      </c>
      <c r="G232">
        <v>3.7655681000000003E-2</v>
      </c>
      <c r="H232">
        <v>-4.3818080000000001E-3</v>
      </c>
      <c r="I232" s="1">
        <v>-7.2592500000000007E-5</v>
      </c>
      <c r="J232">
        <v>3.0236680000000002E-3</v>
      </c>
      <c r="K232">
        <v>4.2937261999999997E-2</v>
      </c>
      <c r="L232">
        <f t="shared" si="23"/>
        <v>8.0020968286127654E-3</v>
      </c>
      <c r="M232">
        <f t="shared" si="24"/>
        <v>4.0951317061587392E-3</v>
      </c>
      <c r="N232">
        <f t="shared" si="25"/>
        <v>7.5081286696731522E-3</v>
      </c>
      <c r="O232">
        <f t="shared" si="26"/>
        <v>8.7532087318497546E-3</v>
      </c>
      <c r="P232">
        <f t="shared" si="27"/>
        <v>7.272284977620452E-3</v>
      </c>
    </row>
    <row r="233" spans="1:16" x14ac:dyDescent="0.25">
      <c r="A233" s="2">
        <v>40151</v>
      </c>
      <c r="B233">
        <v>8.514453E-3</v>
      </c>
      <c r="C233">
        <v>1.1556349E-2</v>
      </c>
      <c r="D233">
        <v>5.4943700000000002E-3</v>
      </c>
      <c r="E233">
        <v>8.1636629999999998E-3</v>
      </c>
      <c r="F233">
        <v>1.767682E-3</v>
      </c>
      <c r="G233">
        <v>4.4919490000000003E-3</v>
      </c>
      <c r="H233">
        <v>-1.0462209E-2</v>
      </c>
      <c r="I233">
        <v>7.7646809999999998E-3</v>
      </c>
      <c r="J233" s="1">
        <v>-7.4596699999999997E-5</v>
      </c>
      <c r="K233">
        <v>1.1556349E-2</v>
      </c>
      <c r="L233">
        <f t="shared" si="23"/>
        <v>1.2527556257029934E-2</v>
      </c>
      <c r="M233">
        <f t="shared" si="24"/>
        <v>3.911161387567641E-3</v>
      </c>
      <c r="N233">
        <f t="shared" si="25"/>
        <v>6.630934031216223E-3</v>
      </c>
      <c r="O233">
        <f t="shared" si="26"/>
        <v>6.2375827261672654E-3</v>
      </c>
      <c r="P233">
        <f t="shared" si="27"/>
        <v>9.647482000147943E-3</v>
      </c>
    </row>
    <row r="234" spans="1:16" x14ac:dyDescent="0.25">
      <c r="A234" s="2">
        <v>40154</v>
      </c>
      <c r="B234">
        <v>-3.7237440000000002E-3</v>
      </c>
      <c r="C234">
        <v>-1.1418107E-2</v>
      </c>
      <c r="D234">
        <v>-2.4714509999999999E-3</v>
      </c>
      <c r="E234">
        <v>-5.6712560000000004E-3</v>
      </c>
      <c r="F234">
        <v>-2.2006759999999999E-3</v>
      </c>
      <c r="G234">
        <v>1.4364649E-2</v>
      </c>
      <c r="H234">
        <v>1.3341759999999999E-2</v>
      </c>
      <c r="I234">
        <v>-3.3578979999999998E-3</v>
      </c>
      <c r="J234">
        <v>4.0313700000000003E-4</v>
      </c>
      <c r="K234">
        <v>-1.1418107E-2</v>
      </c>
      <c r="L234">
        <f t="shared" si="23"/>
        <v>-3.934720373223094E-3</v>
      </c>
      <c r="M234">
        <f t="shared" si="24"/>
        <v>2.9757120601179693E-3</v>
      </c>
      <c r="N234">
        <f t="shared" si="25"/>
        <v>1.0855024415977292E-4</v>
      </c>
      <c r="O234">
        <f t="shared" si="26"/>
        <v>2.2874436233552534E-3</v>
      </c>
      <c r="P234">
        <f t="shared" si="27"/>
        <v>-3.2330606958869573E-3</v>
      </c>
    </row>
    <row r="235" spans="1:16" x14ac:dyDescent="0.25">
      <c r="A235" s="2">
        <v>40155</v>
      </c>
      <c r="B235">
        <v>-6.5199580000000002E-3</v>
      </c>
      <c r="C235">
        <v>-8.6693259999999998E-3</v>
      </c>
      <c r="D235">
        <v>-1.0304438000000001E-2</v>
      </c>
      <c r="E235">
        <v>-1.6764488000000001E-2</v>
      </c>
      <c r="F235">
        <v>-1.6632557999999999E-2</v>
      </c>
      <c r="G235">
        <v>-2.6718459999999999E-3</v>
      </c>
      <c r="H235">
        <v>-1.1494463999999999E-2</v>
      </c>
      <c r="I235">
        <v>-1.5214504E-2</v>
      </c>
      <c r="J235">
        <v>-6.0069249999999998E-3</v>
      </c>
      <c r="K235">
        <v>-8.6693259999999998E-3</v>
      </c>
      <c r="L235">
        <f t="shared" si="23"/>
        <v>-1.0550730648157982E-2</v>
      </c>
      <c r="M235">
        <f t="shared" si="24"/>
        <v>-4.8011369590369411E-3</v>
      </c>
      <c r="N235">
        <f t="shared" si="25"/>
        <v>-1.1490976559746756E-2</v>
      </c>
      <c r="O235">
        <f t="shared" si="26"/>
        <v>-1.1363163711203135E-2</v>
      </c>
      <c r="P235">
        <f t="shared" si="27"/>
        <v>-1.1678389972660876E-2</v>
      </c>
    </row>
    <row r="236" spans="1:16" x14ac:dyDescent="0.25">
      <c r="A236" s="2">
        <v>40156</v>
      </c>
      <c r="B236">
        <v>-8.2291440000000007E-3</v>
      </c>
      <c r="C236">
        <v>-1.1447394E-2</v>
      </c>
      <c r="D236">
        <v>3.6656359999999999E-3</v>
      </c>
      <c r="E236">
        <v>-7.1874850000000004E-3</v>
      </c>
      <c r="F236">
        <v>-3.6827510000000002E-3</v>
      </c>
      <c r="G236">
        <v>-1.3477367000000001E-2</v>
      </c>
      <c r="H236">
        <v>4.1697119999999999E-3</v>
      </c>
      <c r="I236">
        <v>-8.4694200000000001E-3</v>
      </c>
      <c r="J236">
        <v>-4.4785449999999996E-3</v>
      </c>
      <c r="K236">
        <v>-1.1447394E-2</v>
      </c>
      <c r="L236">
        <f t="shared" si="23"/>
        <v>-1.1884651431893949E-2</v>
      </c>
      <c r="M236">
        <f t="shared" si="24"/>
        <v>-7.0366517165111218E-4</v>
      </c>
      <c r="N236">
        <f t="shared" si="25"/>
        <v>-8.5861457096155953E-3</v>
      </c>
      <c r="O236">
        <f t="shared" si="26"/>
        <v>-6.5331725202037215E-3</v>
      </c>
      <c r="P236">
        <f t="shared" si="27"/>
        <v>-9.8796454481231838E-3</v>
      </c>
    </row>
    <row r="237" spans="1:16" x14ac:dyDescent="0.25">
      <c r="A237" s="2">
        <v>40157</v>
      </c>
      <c r="B237">
        <v>8.2922580000000003E-3</v>
      </c>
      <c r="C237">
        <v>1.0238217000000001E-2</v>
      </c>
      <c r="D237">
        <v>5.8226980000000003E-3</v>
      </c>
      <c r="E237">
        <v>1.0774209E-2</v>
      </c>
      <c r="F237">
        <v>7.7524960000000002E-3</v>
      </c>
      <c r="G237">
        <v>-1.428485E-2</v>
      </c>
      <c r="H237">
        <v>1.0472525E-2</v>
      </c>
      <c r="I237">
        <v>8.9866430000000008E-3</v>
      </c>
      <c r="J237">
        <v>3.191354E-3</v>
      </c>
      <c r="K237">
        <v>1.0238217000000001E-2</v>
      </c>
      <c r="L237">
        <f t="shared" si="23"/>
        <v>6.4183223623625382E-3</v>
      </c>
      <c r="M237">
        <f t="shared" si="24"/>
        <v>5.1550905801883377E-3</v>
      </c>
      <c r="N237">
        <f t="shared" si="25"/>
        <v>6.3939380063707902E-3</v>
      </c>
      <c r="O237">
        <f t="shared" si="26"/>
        <v>5.4982740587141195E-3</v>
      </c>
      <c r="P237">
        <f t="shared" si="27"/>
        <v>5.9008903777463331E-3</v>
      </c>
    </row>
    <row r="238" spans="1:16" x14ac:dyDescent="0.25">
      <c r="A238" s="2">
        <v>40158</v>
      </c>
      <c r="B238">
        <v>-4.2044530000000004E-3</v>
      </c>
      <c r="C238" s="1">
        <v>-4.1365300000000002E-5</v>
      </c>
      <c r="D238">
        <v>3.6762750000000001E-3</v>
      </c>
      <c r="E238">
        <v>8.2457899999999994E-3</v>
      </c>
      <c r="F238">
        <v>3.2743220000000001E-3</v>
      </c>
      <c r="G238">
        <v>2.4542197000000002E-2</v>
      </c>
      <c r="H238">
        <v>7.8119169999999998E-3</v>
      </c>
      <c r="I238">
        <v>3.094079E-3</v>
      </c>
      <c r="J238">
        <v>5.5243480000000001E-3</v>
      </c>
      <c r="K238">
        <v>-4.1365300000000002E-5</v>
      </c>
      <c r="L238">
        <f t="shared" si="23"/>
        <v>7.2516864787428876E-3</v>
      </c>
      <c r="M238">
        <f t="shared" si="24"/>
        <v>6.8635321196509561E-3</v>
      </c>
      <c r="N238">
        <f t="shared" si="25"/>
        <v>9.213257436579237E-3</v>
      </c>
      <c r="O238">
        <f t="shared" si="26"/>
        <v>1.1548587707881815E-2</v>
      </c>
      <c r="P238">
        <f t="shared" si="27"/>
        <v>8.2137449098587147E-3</v>
      </c>
    </row>
    <row r="239" spans="1:16" x14ac:dyDescent="0.25">
      <c r="A239" s="2">
        <v>40161</v>
      </c>
      <c r="B239">
        <v>1.6307466999999999E-2</v>
      </c>
      <c r="C239">
        <v>1.0667070000000001E-2</v>
      </c>
      <c r="D239">
        <v>6.9353399999999999E-3</v>
      </c>
      <c r="E239">
        <v>7.9543270000000006E-3</v>
      </c>
      <c r="F239">
        <v>1.0154290999999999E-2</v>
      </c>
      <c r="G239">
        <v>-2.1668600000000001E-4</v>
      </c>
      <c r="H239">
        <v>1.1831249999999999E-3</v>
      </c>
      <c r="I239">
        <v>8.0300070000000005E-3</v>
      </c>
      <c r="J239">
        <v>4.3251799999999996E-3</v>
      </c>
      <c r="K239">
        <v>1.0667070000000001E-2</v>
      </c>
      <c r="L239">
        <f t="shared" si="23"/>
        <v>9.5049852539737367E-3</v>
      </c>
      <c r="M239">
        <f t="shared" si="24"/>
        <v>5.6065776302737062E-3</v>
      </c>
      <c r="N239">
        <f t="shared" si="25"/>
        <v>8.7975472667463535E-3</v>
      </c>
      <c r="O239">
        <f t="shared" si="26"/>
        <v>8.3375093183289967E-3</v>
      </c>
      <c r="P239">
        <f t="shared" si="27"/>
        <v>1.0545736610732581E-2</v>
      </c>
    </row>
    <row r="240" spans="1:16" x14ac:dyDescent="0.25">
      <c r="A240" s="2">
        <v>40162</v>
      </c>
      <c r="B240">
        <v>4.9902779999999999E-3</v>
      </c>
      <c r="C240" s="1">
        <v>-8.1857800000000001E-5</v>
      </c>
      <c r="D240">
        <v>-5.5624699999999999E-3</v>
      </c>
      <c r="E240">
        <v>1.5636840000000001E-3</v>
      </c>
      <c r="F240">
        <v>-5.5654750000000003E-3</v>
      </c>
      <c r="G240">
        <v>-2.199201E-3</v>
      </c>
      <c r="H240">
        <v>-5.4810299999999998E-4</v>
      </c>
      <c r="I240">
        <v>-1.4272309999999999E-3</v>
      </c>
      <c r="J240">
        <v>-3.2269270000000001E-3</v>
      </c>
      <c r="K240">
        <v>-8.1857800000000001E-5</v>
      </c>
      <c r="L240">
        <f t="shared" si="23"/>
        <v>-2.1028487580776905E-3</v>
      </c>
      <c r="M240">
        <f t="shared" si="24"/>
        <v>8.1512796451546437E-4</v>
      </c>
      <c r="N240">
        <f t="shared" si="25"/>
        <v>-2.2751938252623958E-3</v>
      </c>
      <c r="O240">
        <f t="shared" si="26"/>
        <v>-1.4515369971942582E-3</v>
      </c>
      <c r="P240">
        <f t="shared" si="27"/>
        <v>-3.8066571446655323E-3</v>
      </c>
    </row>
    <row r="241" spans="1:16" x14ac:dyDescent="0.25">
      <c r="A241" s="2">
        <v>40163</v>
      </c>
      <c r="B241">
        <v>7.2626310000000003E-3</v>
      </c>
      <c r="C241">
        <v>8.5282499999999994E-3</v>
      </c>
      <c r="D241">
        <v>1.127594E-3</v>
      </c>
      <c r="E241">
        <v>1.5722356999999999E-2</v>
      </c>
      <c r="F241">
        <v>6.5057129999999998E-3</v>
      </c>
      <c r="G241">
        <v>9.2721169999999999E-3</v>
      </c>
      <c r="H241">
        <v>-9.9904409999999992E-3</v>
      </c>
      <c r="I241">
        <v>1.0294153E-2</v>
      </c>
      <c r="J241">
        <v>-1.744163E-3</v>
      </c>
      <c r="K241">
        <v>8.5282499999999994E-3</v>
      </c>
      <c r="L241">
        <f t="shared" si="23"/>
        <v>9.8748892840505413E-3</v>
      </c>
      <c r="M241">
        <f t="shared" si="24"/>
        <v>5.3139453841913077E-3</v>
      </c>
      <c r="N241">
        <f t="shared" si="25"/>
        <v>7.3291510389760098E-3</v>
      </c>
      <c r="O241">
        <f t="shared" si="26"/>
        <v>9.0067422915454456E-3</v>
      </c>
      <c r="P241">
        <f t="shared" si="27"/>
        <v>8.7950275649627367E-3</v>
      </c>
    </row>
    <row r="242" spans="1:16" x14ac:dyDescent="0.25">
      <c r="A242" s="2">
        <v>40164</v>
      </c>
      <c r="B242">
        <v>-1.6948929000000001E-2</v>
      </c>
      <c r="C242">
        <v>-2.2729183999999999E-2</v>
      </c>
      <c r="D242">
        <v>-1.1880824999999999E-2</v>
      </c>
      <c r="E242">
        <v>-1.0042756E-2</v>
      </c>
      <c r="F242">
        <v>-1.9492167000000001E-2</v>
      </c>
      <c r="G242">
        <v>-1.3381700000000001E-3</v>
      </c>
      <c r="H242">
        <v>-2.2906152999999999E-2</v>
      </c>
      <c r="I242">
        <v>-1.3355087E-2</v>
      </c>
      <c r="J242">
        <v>-9.6051130000000002E-3</v>
      </c>
      <c r="K242">
        <v>-2.2729183999999999E-2</v>
      </c>
      <c r="L242">
        <f t="shared" si="23"/>
        <v>-8.2447722837836572E-3</v>
      </c>
      <c r="M242">
        <f t="shared" si="24"/>
        <v>-5.3063334278357251E-3</v>
      </c>
      <c r="N242">
        <f t="shared" si="25"/>
        <v>-1.215295145519223E-2</v>
      </c>
      <c r="O242">
        <f t="shared" si="26"/>
        <v>-1.13395796864726E-2</v>
      </c>
      <c r="P242">
        <f t="shared" si="27"/>
        <v>-1.124001037931857E-2</v>
      </c>
    </row>
    <row r="243" spans="1:16" x14ac:dyDescent="0.25">
      <c r="A243" s="2">
        <v>40165</v>
      </c>
      <c r="B243">
        <v>3.5012440000000001E-3</v>
      </c>
      <c r="C243">
        <v>2.7052539999999998E-3</v>
      </c>
      <c r="D243">
        <v>5.8129389999999996E-3</v>
      </c>
      <c r="E243">
        <v>-2.2662559999999999E-3</v>
      </c>
      <c r="F243">
        <v>-3.9944749999999999E-3</v>
      </c>
      <c r="G243">
        <v>-2.142241E-3</v>
      </c>
      <c r="H243">
        <v>-4.0937739999999997E-3</v>
      </c>
      <c r="I243">
        <v>-5.5583150000000003E-3</v>
      </c>
      <c r="J243">
        <v>-3.679224E-3</v>
      </c>
      <c r="K243">
        <v>2.7052539999999998E-3</v>
      </c>
      <c r="L243">
        <f t="shared" si="23"/>
        <v>-4.6802811064591936E-3</v>
      </c>
      <c r="M243">
        <f t="shared" si="24"/>
        <v>6.0330043866089035E-4</v>
      </c>
      <c r="N243">
        <f t="shared" si="25"/>
        <v>-4.5443140810950905E-3</v>
      </c>
      <c r="O243">
        <f t="shared" si="26"/>
        <v>-2.2937290721933906E-3</v>
      </c>
      <c r="P243">
        <f t="shared" si="27"/>
        <v>-3.9613190523991298E-3</v>
      </c>
    </row>
    <row r="244" spans="1:16" x14ac:dyDescent="0.25">
      <c r="A244" s="2">
        <v>40168</v>
      </c>
      <c r="B244">
        <v>2.2530184000000002E-2</v>
      </c>
      <c r="C244">
        <v>1.9354086999999999E-2</v>
      </c>
      <c r="D244">
        <v>1.0448907E-2</v>
      </c>
      <c r="E244">
        <v>1.6889059000000001E-2</v>
      </c>
      <c r="F244">
        <v>1.8531051999999999E-2</v>
      </c>
      <c r="G244">
        <v>4.07567E-3</v>
      </c>
      <c r="H244">
        <v>-1.3095524000000001E-2</v>
      </c>
      <c r="I244">
        <v>1.5016333999999999E-2</v>
      </c>
      <c r="J244">
        <v>-3.7709280000000002E-3</v>
      </c>
      <c r="K244">
        <v>1.9354086999999999E-2</v>
      </c>
      <c r="L244">
        <f t="shared" si="23"/>
        <v>9.5783638410090067E-3</v>
      </c>
      <c r="M244">
        <f t="shared" si="24"/>
        <v>6.7205717302052694E-3</v>
      </c>
      <c r="N244">
        <f t="shared" si="25"/>
        <v>8.1119791984922938E-3</v>
      </c>
      <c r="O244">
        <f t="shared" si="26"/>
        <v>1.0938218352865504E-2</v>
      </c>
      <c r="P244">
        <f t="shared" si="27"/>
        <v>1.1592217815365647E-2</v>
      </c>
    </row>
    <row r="245" spans="1:16" x14ac:dyDescent="0.25">
      <c r="A245" s="2">
        <v>40169</v>
      </c>
      <c r="B245">
        <v>4.8947019999999999E-3</v>
      </c>
      <c r="C245">
        <v>3.4459199999999999E-3</v>
      </c>
      <c r="D245">
        <v>3.5572400000000001E-3</v>
      </c>
      <c r="E245">
        <v>2.553002E-3</v>
      </c>
      <c r="F245">
        <v>6.5332020000000001E-3</v>
      </c>
      <c r="G245">
        <v>1.8925253999999999E-2</v>
      </c>
      <c r="H245">
        <v>2.2394312E-2</v>
      </c>
      <c r="I245">
        <v>7.4880260000000001E-3</v>
      </c>
      <c r="J245">
        <v>9.2370219999999992E-3</v>
      </c>
      <c r="K245">
        <v>3.4459199999999999E-3</v>
      </c>
      <c r="L245">
        <f t="shared" si="23"/>
        <v>1.0635243147100642E-2</v>
      </c>
      <c r="M245">
        <f t="shared" si="24"/>
        <v>7.9106036719782183E-3</v>
      </c>
      <c r="N245">
        <f t="shared" si="25"/>
        <v>1.2638942794240698E-2</v>
      </c>
      <c r="O245">
        <f t="shared" si="26"/>
        <v>1.2348598200931678E-2</v>
      </c>
      <c r="P245">
        <f t="shared" si="27"/>
        <v>1.0300475059489271E-2</v>
      </c>
    </row>
    <row r="246" spans="1:16" x14ac:dyDescent="0.25">
      <c r="A246" s="2">
        <v>40170</v>
      </c>
      <c r="B246">
        <v>-7.2113050000000003E-3</v>
      </c>
      <c r="C246">
        <v>-7.5406910000000004E-3</v>
      </c>
      <c r="D246">
        <v>2.296069E-3</v>
      </c>
      <c r="E246">
        <v>1.9742710000000001E-3</v>
      </c>
      <c r="F246">
        <v>8.1674299999999998E-3</v>
      </c>
      <c r="G246">
        <v>1.5194209E-2</v>
      </c>
      <c r="H246">
        <v>2.5332029999999999E-3</v>
      </c>
      <c r="I246">
        <v>4.1347240000000002E-3</v>
      </c>
      <c r="J246">
        <v>7.8035149999999996E-3</v>
      </c>
      <c r="K246">
        <v>-7.5406910000000004E-3</v>
      </c>
      <c r="L246">
        <f t="shared" si="23"/>
        <v>9.9777376154735302E-3</v>
      </c>
      <c r="M246">
        <f t="shared" si="24"/>
        <v>5.7605652735793576E-3</v>
      </c>
      <c r="N246">
        <f t="shared" si="25"/>
        <v>1.0686779456155499E-2</v>
      </c>
      <c r="O246">
        <f t="shared" si="26"/>
        <v>1.0071902152673458E-2</v>
      </c>
      <c r="P246">
        <f t="shared" si="27"/>
        <v>1.2009179623510514E-2</v>
      </c>
    </row>
    <row r="247" spans="1:16" x14ac:dyDescent="0.25">
      <c r="A247" s="2">
        <v>40171</v>
      </c>
      <c r="B247">
        <v>5.8166499999999996E-3</v>
      </c>
      <c r="C247">
        <v>1.3487310000000001E-2</v>
      </c>
      <c r="D247">
        <v>5.242394E-3</v>
      </c>
      <c r="E247">
        <v>7.6051590000000002E-3</v>
      </c>
      <c r="F247">
        <v>5.5685630000000003E-3</v>
      </c>
      <c r="G247">
        <v>0</v>
      </c>
      <c r="H247">
        <v>4.6202409999999998E-3</v>
      </c>
      <c r="I247">
        <v>1.8246650000000001E-3</v>
      </c>
      <c r="J247">
        <v>4.780622E-3</v>
      </c>
      <c r="K247">
        <v>1.3487310000000001E-2</v>
      </c>
      <c r="L247">
        <f t="shared" si="23"/>
        <v>3.5815564440350735E-3</v>
      </c>
      <c r="M247">
        <f t="shared" si="24"/>
        <v>4.7587201834849617E-3</v>
      </c>
      <c r="N247">
        <f t="shared" si="25"/>
        <v>5.591479782824013E-3</v>
      </c>
      <c r="O247">
        <f t="shared" si="26"/>
        <v>6.2558562699119684E-3</v>
      </c>
      <c r="P247">
        <f t="shared" si="27"/>
        <v>5.837467114556431E-3</v>
      </c>
    </row>
    <row r="248" spans="1:16" x14ac:dyDescent="0.25">
      <c r="A248" s="2">
        <v>40172</v>
      </c>
      <c r="B248">
        <v>3.8911229999999998E-3</v>
      </c>
      <c r="C248">
        <v>5.0912650000000002E-3</v>
      </c>
      <c r="D248">
        <v>1.1533719999999999E-3</v>
      </c>
      <c r="E248">
        <v>0</v>
      </c>
      <c r="F248">
        <v>6.4944879999999997E-3</v>
      </c>
      <c r="G248">
        <v>-4.0139599999999996E-3</v>
      </c>
      <c r="H248">
        <v>0</v>
      </c>
      <c r="I248">
        <v>0</v>
      </c>
      <c r="J248">
        <v>3.4036899999999998E-4</v>
      </c>
      <c r="K248">
        <v>5.0912650000000002E-3</v>
      </c>
      <c r="L248">
        <f t="shared" si="23"/>
        <v>-1.7799545740216898E-3</v>
      </c>
      <c r="M248">
        <f t="shared" si="24"/>
        <v>2.5142057002504998E-3</v>
      </c>
      <c r="N248">
        <f t="shared" si="25"/>
        <v>9.6484488976541181E-4</v>
      </c>
      <c r="O248">
        <f t="shared" si="26"/>
        <v>1.7456165085611207E-3</v>
      </c>
      <c r="P248">
        <f t="shared" si="27"/>
        <v>1.2979602649249118E-3</v>
      </c>
    </row>
    <row r="249" spans="1:16" x14ac:dyDescent="0.25">
      <c r="A249" s="2">
        <v>40175</v>
      </c>
      <c r="B249">
        <v>-8.1176800000000004E-4</v>
      </c>
      <c r="C249">
        <v>-1.677504E-3</v>
      </c>
      <c r="D249">
        <v>0</v>
      </c>
      <c r="E249">
        <v>0</v>
      </c>
      <c r="F249">
        <v>0</v>
      </c>
      <c r="G249">
        <v>1.3206723E-2</v>
      </c>
      <c r="H249">
        <v>0</v>
      </c>
      <c r="I249">
        <v>3.6810559999999998E-3</v>
      </c>
      <c r="J249">
        <v>4.1420789999999999E-3</v>
      </c>
      <c r="K249">
        <v>-1.677504E-3</v>
      </c>
      <c r="L249">
        <f t="shared" si="23"/>
        <v>1.0428712289102476E-2</v>
      </c>
      <c r="M249">
        <f t="shared" si="24"/>
        <v>3.9641787367734674E-3</v>
      </c>
      <c r="N249">
        <f t="shared" si="25"/>
        <v>7.5933340951422649E-3</v>
      </c>
      <c r="O249">
        <f t="shared" si="26"/>
        <v>6.4909022816973189E-3</v>
      </c>
      <c r="P249">
        <f t="shared" si="27"/>
        <v>8.5577025086006238E-3</v>
      </c>
    </row>
    <row r="250" spans="1:16" x14ac:dyDescent="0.25">
      <c r="A250" s="2">
        <v>40176</v>
      </c>
      <c r="B250">
        <v>3.2228500000000002E-3</v>
      </c>
      <c r="C250">
        <v>5.8166429999999998E-3</v>
      </c>
      <c r="D250">
        <v>-1.401965E-3</v>
      </c>
      <c r="E250">
        <v>1.436601E-3</v>
      </c>
      <c r="F250">
        <v>0</v>
      </c>
      <c r="G250">
        <v>3.6009300000000002E-4</v>
      </c>
      <c r="H250">
        <v>5.7857100000000003E-3</v>
      </c>
      <c r="I250">
        <v>4.1861060000000002E-3</v>
      </c>
      <c r="J250">
        <v>-1.9054200000000001E-4</v>
      </c>
      <c r="K250">
        <v>5.8166429999999998E-3</v>
      </c>
      <c r="L250">
        <f t="shared" si="23"/>
        <v>3.7978410907194291E-3</v>
      </c>
      <c r="M250">
        <f t="shared" si="24"/>
        <v>3.0441033837684713E-3</v>
      </c>
      <c r="N250">
        <f t="shared" si="25"/>
        <v>2.8835127045142581E-3</v>
      </c>
      <c r="O250">
        <f t="shared" si="26"/>
        <v>2.6616137848529597E-3</v>
      </c>
      <c r="P250">
        <f t="shared" si="27"/>
        <v>1.7028183425763176E-3</v>
      </c>
    </row>
    <row r="251" spans="1:16" x14ac:dyDescent="0.25">
      <c r="A251" s="2">
        <v>40177</v>
      </c>
      <c r="B251">
        <v>-2.2740450000000001E-3</v>
      </c>
      <c r="C251">
        <v>-4.3342859999999997E-3</v>
      </c>
      <c r="D251">
        <v>1.9532800000000001E-4</v>
      </c>
      <c r="E251">
        <v>-9.0434390000000003E-3</v>
      </c>
      <c r="F251">
        <v>-7.327798E-3</v>
      </c>
      <c r="G251">
        <v>-8.6497740000000007E-3</v>
      </c>
      <c r="H251">
        <v>4.2663930000000003E-3</v>
      </c>
      <c r="I251">
        <v>-7.4684599999999997E-3</v>
      </c>
      <c r="J251">
        <v>3.40849E-4</v>
      </c>
      <c r="K251">
        <v>-4.3342859999999997E-3</v>
      </c>
      <c r="L251">
        <f t="shared" si="23"/>
        <v>-4.2263938144042022E-3</v>
      </c>
      <c r="M251">
        <f t="shared" si="24"/>
        <v>-4.8118054424033541E-4</v>
      </c>
      <c r="N251">
        <f t="shared" si="25"/>
        <v>-4.0122983519526676E-3</v>
      </c>
      <c r="O251">
        <f t="shared" si="26"/>
        <v>-4.6968840114214264E-3</v>
      </c>
      <c r="P251">
        <f t="shared" si="27"/>
        <v>-4.6213738471304455E-3</v>
      </c>
    </row>
    <row r="252" spans="1:16" x14ac:dyDescent="0.25">
      <c r="A252" s="2">
        <v>40178</v>
      </c>
      <c r="B252">
        <v>2.2138372E-2</v>
      </c>
      <c r="C252">
        <v>3.4372173999999998E-2</v>
      </c>
      <c r="D252">
        <v>-1.0100375E-2</v>
      </c>
      <c r="E252">
        <v>1.5138061E-2</v>
      </c>
      <c r="F252">
        <v>2.7750050000000001E-3</v>
      </c>
      <c r="G252">
        <v>1.0221193999999999E-2</v>
      </c>
      <c r="H252">
        <v>2.1020299999999999E-2</v>
      </c>
      <c r="I252">
        <v>7.8359100000000004E-4</v>
      </c>
      <c r="J252">
        <v>6.8544900000000004E-3</v>
      </c>
      <c r="K252">
        <v>3.4372173999999998E-2</v>
      </c>
      <c r="L252">
        <f t="shared" si="23"/>
        <v>-2.1870678797183038E-3</v>
      </c>
      <c r="M252">
        <f t="shared" si="24"/>
        <v>6.3458171934888032E-3</v>
      </c>
      <c r="N252">
        <f t="shared" si="25"/>
        <v>6.5810258008892671E-3</v>
      </c>
      <c r="O252">
        <f t="shared" si="26"/>
        <v>8.9285208426696343E-3</v>
      </c>
      <c r="P252">
        <f t="shared" si="27"/>
        <v>6.1139684048125984E-4</v>
      </c>
    </row>
    <row r="253" spans="1:16" x14ac:dyDescent="0.25">
      <c r="A253" s="2">
        <v>40182</v>
      </c>
      <c r="B253">
        <v>1.0229370999999999E-2</v>
      </c>
      <c r="C253">
        <v>1.4477561999999999E-2</v>
      </c>
      <c r="D253">
        <v>1.5916069000000001E-2</v>
      </c>
      <c r="E253">
        <v>0</v>
      </c>
      <c r="F253">
        <v>1.6017643000000002E-2</v>
      </c>
      <c r="G253">
        <v>0</v>
      </c>
      <c r="H253">
        <v>0</v>
      </c>
      <c r="I253">
        <v>1.6777763000000001E-2</v>
      </c>
      <c r="J253">
        <v>8.3990100000000002E-3</v>
      </c>
      <c r="K253">
        <v>1.4477561999999999E-2</v>
      </c>
      <c r="L253">
        <f t="shared" si="23"/>
        <v>2.4077294529870126E-2</v>
      </c>
      <c r="M253">
        <f t="shared" si="24"/>
        <v>7.0577178508720462E-3</v>
      </c>
      <c r="N253">
        <f t="shared" si="25"/>
        <v>1.6540068083528134E-2</v>
      </c>
      <c r="O253">
        <f t="shared" si="26"/>
        <v>1.1927472562858213E-2</v>
      </c>
      <c r="P253">
        <f t="shared" si="27"/>
        <v>2.2212934976033612E-2</v>
      </c>
    </row>
    <row r="254" spans="1:16" x14ac:dyDescent="0.25">
      <c r="A254" s="2">
        <v>40183</v>
      </c>
      <c r="B254">
        <v>1.3898021999999999E-2</v>
      </c>
      <c r="C254">
        <v>2.4018914999999998E-2</v>
      </c>
      <c r="D254">
        <v>3.1108059999999998E-3</v>
      </c>
      <c r="E254">
        <v>-2.7218199999999998E-3</v>
      </c>
      <c r="F254">
        <v>4.0280200000000002E-3</v>
      </c>
      <c r="G254">
        <v>2.534611E-3</v>
      </c>
      <c r="H254">
        <v>2.7800569999999998E-3</v>
      </c>
      <c r="I254">
        <v>1.3158200000000001E-3</v>
      </c>
      <c r="J254">
        <v>8.0667399999999993E-3</v>
      </c>
      <c r="K254">
        <v>2.4018914999999998E-2</v>
      </c>
      <c r="L254">
        <f t="shared" si="23"/>
        <v>8.8593080848641172E-3</v>
      </c>
      <c r="M254">
        <f t="shared" si="24"/>
        <v>3.7437277003552565E-3</v>
      </c>
      <c r="N254">
        <f t="shared" si="25"/>
        <v>7.9234294122180141E-3</v>
      </c>
      <c r="O254">
        <f t="shared" si="26"/>
        <v>5.4923690104378723E-3</v>
      </c>
      <c r="P254">
        <f t="shared" si="27"/>
        <v>9.767403935292884E-3</v>
      </c>
    </row>
    <row r="255" spans="1:16" x14ac:dyDescent="0.25">
      <c r="A255" s="2">
        <v>40184</v>
      </c>
      <c r="B255">
        <v>7.9569789999999994E-3</v>
      </c>
      <c r="C255">
        <v>5.706348E-3</v>
      </c>
      <c r="D255">
        <v>5.4537599999999998E-4</v>
      </c>
      <c r="E255">
        <v>4.0940799999999999E-4</v>
      </c>
      <c r="F255">
        <v>1.3571589999999999E-3</v>
      </c>
      <c r="G255">
        <v>4.6345149999999996E-3</v>
      </c>
      <c r="H255">
        <v>6.9377229999999998E-3</v>
      </c>
      <c r="I255">
        <v>5.85708E-4</v>
      </c>
      <c r="J255">
        <v>5.3296200000000002E-3</v>
      </c>
      <c r="K255">
        <v>5.706348E-3</v>
      </c>
      <c r="L255">
        <f t="shared" si="23"/>
        <v>4.6376838197531283E-3</v>
      </c>
      <c r="M255">
        <f t="shared" si="24"/>
        <v>3.7872479828350916E-3</v>
      </c>
      <c r="N255">
        <f t="shared" si="25"/>
        <v>5.4693371377183388E-3</v>
      </c>
      <c r="O255">
        <f t="shared" si="26"/>
        <v>4.8251598807045291E-3</v>
      </c>
      <c r="P255">
        <f t="shared" si="27"/>
        <v>5.0825106841505142E-3</v>
      </c>
    </row>
    <row r="256" spans="1:16" x14ac:dyDescent="0.25">
      <c r="A256" s="2">
        <v>40185</v>
      </c>
      <c r="B256">
        <v>7.7717489999999997E-3</v>
      </c>
      <c r="C256">
        <v>7.4984739999999998E-3</v>
      </c>
      <c r="D256">
        <v>3.9932830000000002E-3</v>
      </c>
      <c r="E256">
        <v>-2.4838880000000001E-3</v>
      </c>
      <c r="F256">
        <v>-5.9692299999999996E-4</v>
      </c>
      <c r="G256">
        <v>-4.6504299999999997E-3</v>
      </c>
      <c r="H256">
        <v>-3.93824E-3</v>
      </c>
      <c r="I256">
        <v>-3.59589E-4</v>
      </c>
      <c r="J256">
        <v>-6.3746549999999999E-3</v>
      </c>
      <c r="K256">
        <v>7.4984739999999998E-3</v>
      </c>
      <c r="L256">
        <f t="shared" si="23"/>
        <v>-3.269180413971859E-3</v>
      </c>
      <c r="M256">
        <f t="shared" si="24"/>
        <v>8.094808607189937E-4</v>
      </c>
      <c r="N256">
        <f t="shared" si="25"/>
        <v>-4.0869279500204015E-3</v>
      </c>
      <c r="O256">
        <f t="shared" si="26"/>
        <v>-2.2213118294217848E-3</v>
      </c>
      <c r="P256">
        <f t="shared" si="27"/>
        <v>-3.7361472322825343E-3</v>
      </c>
    </row>
    <row r="257" spans="1:16" x14ac:dyDescent="0.25">
      <c r="A257" s="2">
        <v>40186</v>
      </c>
      <c r="B257">
        <v>-3.189192E-3</v>
      </c>
      <c r="C257">
        <v>8.3531100000000004E-4</v>
      </c>
      <c r="D257">
        <v>2.8775490000000001E-3</v>
      </c>
      <c r="E257">
        <v>3.027297E-3</v>
      </c>
      <c r="F257">
        <v>1.356129E-3</v>
      </c>
      <c r="G257">
        <v>1.0862314E-2</v>
      </c>
      <c r="H257">
        <v>-2.672088E-3</v>
      </c>
      <c r="I257">
        <v>3.5544230000000001E-3</v>
      </c>
      <c r="J257">
        <v>1.229253E-3</v>
      </c>
      <c r="K257">
        <v>8.3531100000000004E-4</v>
      </c>
      <c r="L257">
        <f t="shared" si="23"/>
        <v>7.439516402317041E-3</v>
      </c>
      <c r="M257">
        <f t="shared" si="24"/>
        <v>3.9188854051554218E-3</v>
      </c>
      <c r="N257">
        <f t="shared" si="25"/>
        <v>5.3709266830697386E-3</v>
      </c>
      <c r="O257">
        <f t="shared" si="26"/>
        <v>5.8759404177308704E-3</v>
      </c>
      <c r="P257">
        <f t="shared" si="27"/>
        <v>6.468905821908167E-3</v>
      </c>
    </row>
    <row r="258" spans="1:16" x14ac:dyDescent="0.25">
      <c r="A258" s="2">
        <v>40189</v>
      </c>
      <c r="B258">
        <v>-1.6130747000000001E-2</v>
      </c>
      <c r="C258">
        <v>-6.0326390000000002E-3</v>
      </c>
      <c r="D258">
        <v>1.745232E-3</v>
      </c>
      <c r="E258">
        <v>4.7855199999999998E-4</v>
      </c>
      <c r="F258">
        <v>7.0446099999999998E-4</v>
      </c>
      <c r="G258">
        <v>7.4566279999999999E-3</v>
      </c>
      <c r="H258">
        <v>2.416559E-3</v>
      </c>
      <c r="I258">
        <v>-4.9767699999999997E-4</v>
      </c>
      <c r="J258">
        <v>5.4473719999999998E-3</v>
      </c>
      <c r="K258">
        <v>-6.0326390000000002E-3</v>
      </c>
      <c r="L258">
        <f t="shared" si="23"/>
        <v>5.5033539051616339E-3</v>
      </c>
      <c r="M258">
        <f t="shared" si="24"/>
        <v>3.6284844667658338E-3</v>
      </c>
      <c r="N258">
        <f t="shared" si="25"/>
        <v>5.5957570640732951E-3</v>
      </c>
      <c r="O258">
        <f t="shared" si="26"/>
        <v>5.1391463360789501E-3</v>
      </c>
      <c r="P258">
        <f t="shared" si="27"/>
        <v>6.2004341379923097E-3</v>
      </c>
    </row>
    <row r="259" spans="1:16" x14ac:dyDescent="0.25">
      <c r="A259" s="2">
        <v>40190</v>
      </c>
      <c r="B259">
        <v>-4.5486299999999997E-3</v>
      </c>
      <c r="C259">
        <v>-4.3387030000000002E-3</v>
      </c>
      <c r="D259">
        <v>-9.4254379999999995E-3</v>
      </c>
      <c r="E259">
        <v>-1.6272734000000001E-2</v>
      </c>
      <c r="F259">
        <v>-7.1397810000000004E-3</v>
      </c>
      <c r="G259">
        <v>0</v>
      </c>
      <c r="H259">
        <v>-5.0815360000000002E-3</v>
      </c>
      <c r="I259">
        <v>-9.8934069999999999E-3</v>
      </c>
      <c r="J259">
        <v>-3.7292029999999999E-3</v>
      </c>
      <c r="K259">
        <v>-4.3387030000000002E-3</v>
      </c>
      <c r="L259">
        <f t="shared" si="23"/>
        <v>-8.3261614561876088E-3</v>
      </c>
      <c r="M259">
        <f t="shared" si="24"/>
        <v>-2.4765452761845255E-3</v>
      </c>
      <c r="N259">
        <f t="shared" si="25"/>
        <v>-7.0698959613374685E-3</v>
      </c>
      <c r="O259">
        <f t="shared" si="26"/>
        <v>-7.1276394613730533E-3</v>
      </c>
      <c r="P259">
        <f t="shared" si="27"/>
        <v>-7.6129659277645451E-3</v>
      </c>
    </row>
    <row r="260" spans="1:16" x14ac:dyDescent="0.25">
      <c r="A260" s="2">
        <v>40191</v>
      </c>
      <c r="B260">
        <v>1.7559248999999999E-2</v>
      </c>
      <c r="C260">
        <v>2.1362493E-2</v>
      </c>
      <c r="D260">
        <v>8.2913840000000006E-3</v>
      </c>
      <c r="E260">
        <v>3.3831320000000001E-3</v>
      </c>
      <c r="F260">
        <v>-4.5934349999999999E-3</v>
      </c>
      <c r="G260">
        <v>-1.3334968000000001E-2</v>
      </c>
      <c r="H260">
        <v>4.3998049999999997E-3</v>
      </c>
      <c r="I260" s="1">
        <v>-7.4712199999999999E-5</v>
      </c>
      <c r="J260">
        <v>-7.2634520000000001E-3</v>
      </c>
      <c r="K260">
        <v>2.1362493E-2</v>
      </c>
      <c r="L260">
        <f t="shared" ref="L260:L288" si="28">SUMPRODUCT(D260:J260,$R$8:$X$8)+$Y$8</f>
        <v>-5.0528979005755176E-3</v>
      </c>
      <c r="M260">
        <f t="shared" ref="M260:M288" si="29">SUMPRODUCT(D260:J260,$R$16:$X$16)+$Y$16</f>
        <v>1.2113950391902345E-3</v>
      </c>
      <c r="N260">
        <f t="shared" ref="N260:N288" si="30">SUMPRODUCT(D260:J260,$R$24:$X$24)+$Y$24</f>
        <v>-5.9079706473955671E-3</v>
      </c>
      <c r="O260">
        <f t="shared" ref="O260:O288" si="31">SUMPRODUCT(D260:J260,$R$32:$X$32)+$Y$32</f>
        <v>-3.3043963460151048E-3</v>
      </c>
      <c r="P260">
        <f t="shared" ref="P260:P288" si="32">SUMPRODUCT(D260:J260,$R$40:$X$40)+$Y$40</f>
        <v>-7.2700966577402774E-3</v>
      </c>
    </row>
    <row r="261" spans="1:16" x14ac:dyDescent="0.25">
      <c r="A261" s="2">
        <v>40192</v>
      </c>
      <c r="B261">
        <v>2.0739199999999999E-3</v>
      </c>
      <c r="C261">
        <v>-2.0758159999999999E-3</v>
      </c>
      <c r="D261">
        <v>2.4235670000000002E-3</v>
      </c>
      <c r="E261">
        <v>4.3072279999999998E-3</v>
      </c>
      <c r="F261">
        <v>4.5025000000000004E-3</v>
      </c>
      <c r="G261">
        <v>1.5954902E-2</v>
      </c>
      <c r="H261">
        <v>-8.3318360000000005E-3</v>
      </c>
      <c r="I261">
        <v>5.4996969999999996E-3</v>
      </c>
      <c r="J261">
        <v>2.3126790000000002E-3</v>
      </c>
      <c r="K261">
        <v>-2.0758159999999999E-3</v>
      </c>
      <c r="L261">
        <f t="shared" si="28"/>
        <v>1.1006113228351825E-2</v>
      </c>
      <c r="M261">
        <f t="shared" si="29"/>
        <v>4.594237468826424E-3</v>
      </c>
      <c r="N261">
        <f t="shared" si="30"/>
        <v>8.1656044136332422E-3</v>
      </c>
      <c r="O261">
        <f t="shared" si="31"/>
        <v>8.3653434164714918E-3</v>
      </c>
      <c r="P261">
        <f t="shared" si="32"/>
        <v>1.0641946600394759E-2</v>
      </c>
    </row>
    <row r="262" spans="1:16" x14ac:dyDescent="0.25">
      <c r="A262" s="2">
        <v>40193</v>
      </c>
      <c r="B262">
        <v>-1.3516993999999999E-2</v>
      </c>
      <c r="C262">
        <v>-1.5515838000000001E-2</v>
      </c>
      <c r="D262">
        <v>-1.0882186E-2</v>
      </c>
      <c r="E262">
        <v>-1.9033264000000001E-2</v>
      </c>
      <c r="F262">
        <v>-7.8148220000000008E-3</v>
      </c>
      <c r="G262">
        <v>6.7995460000000001E-3</v>
      </c>
      <c r="H262">
        <v>-1.1860723E-2</v>
      </c>
      <c r="I262">
        <v>-1.1114664E-2</v>
      </c>
      <c r="J262">
        <v>-2.0564519999999998E-3</v>
      </c>
      <c r="K262">
        <v>-1.5515838000000001E-2</v>
      </c>
      <c r="L262">
        <f t="shared" si="28"/>
        <v>-5.182982570826479E-3</v>
      </c>
      <c r="M262">
        <f t="shared" si="29"/>
        <v>-2.81673305664158E-3</v>
      </c>
      <c r="N262">
        <f t="shared" si="30"/>
        <v>-5.3685223115821582E-3</v>
      </c>
      <c r="O262">
        <f t="shared" si="31"/>
        <v>-6.2307661023786104E-3</v>
      </c>
      <c r="P262">
        <f t="shared" si="32"/>
        <v>-4.3151843754057027E-3</v>
      </c>
    </row>
    <row r="263" spans="1:16" x14ac:dyDescent="0.25">
      <c r="A263" s="2">
        <v>40196</v>
      </c>
      <c r="B263">
        <v>1.0044256999999999E-2</v>
      </c>
      <c r="C263">
        <v>1.3494937E-2</v>
      </c>
      <c r="D263">
        <v>1.2422193999999999E-2</v>
      </c>
      <c r="E263">
        <v>7.2203340000000001E-3</v>
      </c>
      <c r="F263">
        <v>7.1234480000000001E-3</v>
      </c>
      <c r="G263">
        <v>-1.1633500999999999E-2</v>
      </c>
      <c r="H263">
        <v>6.1136630000000001E-3</v>
      </c>
      <c r="I263">
        <v>5.4031050000000001E-3</v>
      </c>
      <c r="J263">
        <v>1.7253959999999999E-3</v>
      </c>
      <c r="K263">
        <v>1.3494937E-2</v>
      </c>
      <c r="L263">
        <f t="shared" si="28"/>
        <v>4.157052612791208E-3</v>
      </c>
      <c r="M263">
        <f t="shared" si="29"/>
        <v>4.5687631636532975E-3</v>
      </c>
      <c r="N263">
        <f t="shared" si="30"/>
        <v>3.9447329127788545E-3</v>
      </c>
      <c r="O263">
        <f t="shared" si="31"/>
        <v>4.32669925075207E-3</v>
      </c>
      <c r="P263">
        <f t="shared" si="32"/>
        <v>4.8594289582786446E-3</v>
      </c>
    </row>
    <row r="264" spans="1:16" x14ac:dyDescent="0.25">
      <c r="A264" s="2">
        <v>40197</v>
      </c>
      <c r="B264">
        <v>1.1097874000000001E-2</v>
      </c>
      <c r="C264">
        <v>7.7834829999999999E-3</v>
      </c>
      <c r="D264">
        <v>0</v>
      </c>
      <c r="E264">
        <v>9.7402789999999993E-3</v>
      </c>
      <c r="F264">
        <v>3.3976869999999999E-3</v>
      </c>
      <c r="G264">
        <v>-8.3423319999999992E-3</v>
      </c>
      <c r="H264">
        <v>7.2931200000000002E-3</v>
      </c>
      <c r="I264">
        <v>5.2962369999999996E-3</v>
      </c>
      <c r="J264">
        <v>2.1186339999999999E-3</v>
      </c>
      <c r="K264">
        <v>7.7834829999999999E-3</v>
      </c>
      <c r="L264">
        <f t="shared" si="28"/>
        <v>3.6415636378801831E-3</v>
      </c>
      <c r="M264">
        <f t="shared" si="29"/>
        <v>4.0643851016045115E-3</v>
      </c>
      <c r="N264">
        <f t="shared" si="30"/>
        <v>4.3804511134921502E-3</v>
      </c>
      <c r="O264">
        <f t="shared" si="31"/>
        <v>4.1584016805564462E-3</v>
      </c>
      <c r="P264">
        <f t="shared" si="32"/>
        <v>3.1413496602193656E-3</v>
      </c>
    </row>
    <row r="265" spans="1:16" x14ac:dyDescent="0.25">
      <c r="A265" s="2">
        <v>40198</v>
      </c>
      <c r="B265">
        <v>5.5971099999999998E-3</v>
      </c>
      <c r="C265">
        <v>2.2939620000000001E-3</v>
      </c>
      <c r="D265">
        <v>-1.0654438E-2</v>
      </c>
      <c r="E265">
        <v>-2.1128600000000001E-2</v>
      </c>
      <c r="F265">
        <v>-1.6883671999999999E-2</v>
      </c>
      <c r="G265">
        <v>-2.5466909999999998E-3</v>
      </c>
      <c r="H265">
        <v>-2.4749831E-2</v>
      </c>
      <c r="I265">
        <v>-1.7593107E-2</v>
      </c>
      <c r="J265">
        <v>-9.0507560000000001E-3</v>
      </c>
      <c r="K265">
        <v>2.2939620000000001E-3</v>
      </c>
      <c r="L265">
        <f t="shared" si="28"/>
        <v>-1.1665142786834158E-2</v>
      </c>
      <c r="M265">
        <f t="shared" si="29"/>
        <v>-6.7533737253379911E-3</v>
      </c>
      <c r="N265">
        <f t="shared" si="30"/>
        <v>-1.4238229126300444E-2</v>
      </c>
      <c r="O265">
        <f t="shared" si="31"/>
        <v>-1.4042771594255859E-2</v>
      </c>
      <c r="P265">
        <f t="shared" si="32"/>
        <v>-1.2086531652886067E-2</v>
      </c>
    </row>
    <row r="266" spans="1:16" x14ac:dyDescent="0.25">
      <c r="A266" s="2">
        <v>40199</v>
      </c>
      <c r="B266">
        <v>-3.0336650000000001E-3</v>
      </c>
      <c r="C266">
        <v>-1.301137E-2</v>
      </c>
      <c r="D266">
        <v>-1.9126605000000001E-2</v>
      </c>
      <c r="E266">
        <v>-1.8030405999999999E-2</v>
      </c>
      <c r="F266">
        <v>-1.5935777000000002E-2</v>
      </c>
      <c r="G266">
        <v>1.2116266000000001E-2</v>
      </c>
      <c r="H266">
        <v>-2.8707258999999999E-2</v>
      </c>
      <c r="I266">
        <v>-1.3776534999999999E-2</v>
      </c>
      <c r="J266">
        <v>-1.4855548E-2</v>
      </c>
      <c r="K266">
        <v>-1.301137E-2</v>
      </c>
      <c r="L266">
        <f t="shared" si="28"/>
        <v>-1.2986355123782973E-2</v>
      </c>
      <c r="M266">
        <f t="shared" si="29"/>
        <v>-6.2347672469955286E-3</v>
      </c>
      <c r="N266">
        <f t="shared" si="30"/>
        <v>-1.4745821645014895E-2</v>
      </c>
      <c r="O266">
        <f t="shared" si="31"/>
        <v>-1.2180756739164505E-2</v>
      </c>
      <c r="P266">
        <f t="shared" si="32"/>
        <v>-1.4310376099255211E-2</v>
      </c>
    </row>
    <row r="267" spans="1:16" x14ac:dyDescent="0.25">
      <c r="A267" s="2">
        <v>40200</v>
      </c>
      <c r="B267">
        <v>-2.3856682000000001E-2</v>
      </c>
      <c r="C267">
        <v>-2.7452668E-2</v>
      </c>
      <c r="D267">
        <v>-2.2389806000000002E-2</v>
      </c>
      <c r="E267">
        <v>-9.0279739999999994E-3</v>
      </c>
      <c r="F267">
        <v>-6.0349310000000003E-3</v>
      </c>
      <c r="G267">
        <v>-2.5898322000000001E-2</v>
      </c>
      <c r="H267">
        <v>-7.5477400000000005E-4</v>
      </c>
      <c r="I267">
        <v>-8.1994449999999997E-3</v>
      </c>
      <c r="J267">
        <v>-1.2384604E-2</v>
      </c>
      <c r="K267">
        <v>-2.7452668E-2</v>
      </c>
      <c r="L267">
        <f t="shared" si="28"/>
        <v>-2.1540991248521515E-2</v>
      </c>
      <c r="M267">
        <f t="shared" si="29"/>
        <v>-4.8840367779518397E-3</v>
      </c>
      <c r="N267">
        <f t="shared" si="30"/>
        <v>-1.565935434782004E-2</v>
      </c>
      <c r="O267">
        <f t="shared" si="31"/>
        <v>-1.4506126511278469E-2</v>
      </c>
      <c r="P267">
        <f t="shared" si="32"/>
        <v>-2.0578132791022212E-2</v>
      </c>
    </row>
    <row r="268" spans="1:16" x14ac:dyDescent="0.25">
      <c r="A268" s="2">
        <v>40203</v>
      </c>
      <c r="B268">
        <v>5.2366940000000001E-3</v>
      </c>
      <c r="C268">
        <v>3.9515460000000002E-3</v>
      </c>
      <c r="D268">
        <v>4.5875409999999997E-3</v>
      </c>
      <c r="E268">
        <v>-1.1292033E-2</v>
      </c>
      <c r="F268">
        <v>-8.0846389999999994E-3</v>
      </c>
      <c r="G268">
        <v>-7.3789950000000002E-3</v>
      </c>
      <c r="H268">
        <v>-1.0566044E-2</v>
      </c>
      <c r="I268">
        <v>-7.6674359999999997E-3</v>
      </c>
      <c r="J268">
        <v>-4.1436340000000002E-3</v>
      </c>
      <c r="K268">
        <v>3.9515460000000002E-3</v>
      </c>
      <c r="L268">
        <f t="shared" si="28"/>
        <v>-2.8832243542414727E-3</v>
      </c>
      <c r="M268">
        <f t="shared" si="29"/>
        <v>-1.8905806333022056E-3</v>
      </c>
      <c r="N268">
        <f t="shared" si="30"/>
        <v>-6.3518682917041809E-3</v>
      </c>
      <c r="O268">
        <f t="shared" si="31"/>
        <v>-6.4883477624067083E-3</v>
      </c>
      <c r="P268">
        <f t="shared" si="32"/>
        <v>-3.9276084353380755E-3</v>
      </c>
    </row>
    <row r="269" spans="1:16" x14ac:dyDescent="0.25">
      <c r="A269" s="2">
        <v>40204</v>
      </c>
      <c r="B269">
        <v>6.7183300000000004E-4</v>
      </c>
      <c r="C269">
        <v>-8.4894979999999998E-3</v>
      </c>
      <c r="D269">
        <v>-4.2120710000000004E-3</v>
      </c>
      <c r="E269">
        <v>6.6476360000000002E-3</v>
      </c>
      <c r="F269">
        <v>3.1507449999999999E-3</v>
      </c>
      <c r="G269">
        <v>-1.7987842E-2</v>
      </c>
      <c r="H269">
        <v>0</v>
      </c>
      <c r="I269">
        <v>3.8817090000000001E-3</v>
      </c>
      <c r="J269">
        <v>-1.7437655E-2</v>
      </c>
      <c r="K269">
        <v>-8.4894979999999998E-3</v>
      </c>
      <c r="L269">
        <f t="shared" si="28"/>
        <v>-1.563913097907535E-2</v>
      </c>
      <c r="M269">
        <f t="shared" si="29"/>
        <v>1.059012660858936E-4</v>
      </c>
      <c r="N269">
        <f t="shared" si="30"/>
        <v>-1.167063268923518E-2</v>
      </c>
      <c r="O269">
        <f t="shared" si="31"/>
        <v>-6.2181351626216614E-3</v>
      </c>
      <c r="P269">
        <f t="shared" si="32"/>
        <v>-1.5670627882039666E-2</v>
      </c>
    </row>
    <row r="270" spans="1:16" x14ac:dyDescent="0.25">
      <c r="A270" s="2">
        <v>40205</v>
      </c>
      <c r="B270">
        <v>-4.547723E-3</v>
      </c>
      <c r="C270">
        <v>2.8776399999999998E-4</v>
      </c>
      <c r="D270">
        <v>4.8683229999999999E-3</v>
      </c>
      <c r="E270">
        <v>-4.5491070000000002E-3</v>
      </c>
      <c r="F270">
        <v>-1.1320444000000001E-2</v>
      </c>
      <c r="G270">
        <v>-7.1146450000000002E-3</v>
      </c>
      <c r="H270">
        <v>-6.9528740000000004E-3</v>
      </c>
      <c r="I270">
        <v>-1.0127461000000001E-2</v>
      </c>
      <c r="J270">
        <v>-7.2753560000000002E-3</v>
      </c>
      <c r="K270">
        <v>2.8776399999999998E-4</v>
      </c>
      <c r="L270">
        <f t="shared" si="28"/>
        <v>-9.3016929100187117E-3</v>
      </c>
      <c r="M270">
        <f t="shared" si="29"/>
        <v>-1.7174812796155849E-3</v>
      </c>
      <c r="N270">
        <f t="shared" si="30"/>
        <v>-1.0074474256349532E-2</v>
      </c>
      <c r="O270">
        <f t="shared" si="31"/>
        <v>-7.2841273856364174E-3</v>
      </c>
      <c r="P270">
        <f t="shared" si="32"/>
        <v>-9.9135950725183237E-3</v>
      </c>
    </row>
    <row r="271" spans="1:16" x14ac:dyDescent="0.25">
      <c r="A271" s="2">
        <v>40206</v>
      </c>
      <c r="B271">
        <v>1.2852446999999999E-2</v>
      </c>
      <c r="C271">
        <v>1.2920276E-2</v>
      </c>
      <c r="D271">
        <v>-1.1888153E-2</v>
      </c>
      <c r="E271">
        <v>-1.8397215000000001E-2</v>
      </c>
      <c r="F271">
        <v>-1.3856946E-2</v>
      </c>
      <c r="G271">
        <v>1.569829E-2</v>
      </c>
      <c r="H271">
        <v>7.929139E-3</v>
      </c>
      <c r="I271">
        <v>-1.2274409E-2</v>
      </c>
      <c r="J271">
        <v>1.0577309E-2</v>
      </c>
      <c r="K271">
        <v>1.2920276E-2</v>
      </c>
      <c r="L271">
        <f t="shared" si="28"/>
        <v>3.1339294129709067E-3</v>
      </c>
      <c r="M271">
        <f t="shared" si="29"/>
        <v>-1.2360175028153014E-4</v>
      </c>
      <c r="N271">
        <f t="shared" si="30"/>
        <v>3.0948945563505454E-3</v>
      </c>
      <c r="O271">
        <f t="shared" si="31"/>
        <v>-7.2388190889213235E-4</v>
      </c>
      <c r="P271">
        <f t="shared" si="32"/>
        <v>1.9730259132891641E-3</v>
      </c>
    </row>
    <row r="272" spans="1:16" x14ac:dyDescent="0.25">
      <c r="A272" s="2">
        <v>40207</v>
      </c>
      <c r="B272">
        <v>-2.1909870000000001E-3</v>
      </c>
      <c r="C272">
        <v>-9.0837299999999997E-4</v>
      </c>
      <c r="D272">
        <v>-9.8777670000000008E-3</v>
      </c>
      <c r="E272">
        <v>1.2280944E-2</v>
      </c>
      <c r="F272">
        <v>8.2832240000000005E-3</v>
      </c>
      <c r="G272">
        <v>-2.0983357000000001E-2</v>
      </c>
      <c r="H272">
        <v>-2.8399129999999999E-3</v>
      </c>
      <c r="I272">
        <v>1.0072536E-2</v>
      </c>
      <c r="J272">
        <v>-6.3147580000000002E-3</v>
      </c>
      <c r="K272">
        <v>-9.0837299999999997E-4</v>
      </c>
      <c r="L272">
        <f t="shared" si="28"/>
        <v>-1.1450714100347879E-3</v>
      </c>
      <c r="M272">
        <f t="shared" si="29"/>
        <v>2.040389214043938E-3</v>
      </c>
      <c r="N272">
        <f t="shared" si="30"/>
        <v>-9.150665226057399E-5</v>
      </c>
      <c r="O272">
        <f t="shared" si="31"/>
        <v>1.5644660506856228E-5</v>
      </c>
      <c r="P272">
        <f t="shared" si="32"/>
        <v>-1.6589548790149899E-3</v>
      </c>
    </row>
    <row r="273" spans="1:16" x14ac:dyDescent="0.25">
      <c r="A273" s="2">
        <v>40210</v>
      </c>
      <c r="B273">
        <v>1.5891731999999999E-2</v>
      </c>
      <c r="C273">
        <v>1.5822192999999998E-2</v>
      </c>
      <c r="D273">
        <v>1.4165354999999999E-2</v>
      </c>
      <c r="E273">
        <v>8.1131410000000008E-3</v>
      </c>
      <c r="F273">
        <v>1.1288078E-2</v>
      </c>
      <c r="G273">
        <v>6.84211E-4</v>
      </c>
      <c r="H273">
        <v>1.7731230000000001E-2</v>
      </c>
      <c r="I273">
        <v>8.5200529999999997E-3</v>
      </c>
      <c r="J273">
        <v>1.8169169999999999E-3</v>
      </c>
      <c r="K273">
        <v>1.5822192999999998E-2</v>
      </c>
      <c r="L273">
        <f t="shared" si="28"/>
        <v>3.4259634067563684E-3</v>
      </c>
      <c r="M273">
        <f t="shared" si="29"/>
        <v>7.2200765111293513E-3</v>
      </c>
      <c r="N273">
        <f t="shared" si="30"/>
        <v>6.2418181078864382E-3</v>
      </c>
      <c r="O273">
        <f t="shared" si="31"/>
        <v>8.648029031211691E-3</v>
      </c>
      <c r="P273">
        <f t="shared" si="32"/>
        <v>4.8287157923116563E-3</v>
      </c>
    </row>
    <row r="274" spans="1:16" x14ac:dyDescent="0.25">
      <c r="A274" s="2">
        <v>40211</v>
      </c>
      <c r="B274">
        <v>-6.8376069999999999E-3</v>
      </c>
      <c r="C274">
        <v>-3.1840499999999999E-3</v>
      </c>
      <c r="D274">
        <v>1.2889515000000001E-2</v>
      </c>
      <c r="E274">
        <v>9.7113259999999993E-3</v>
      </c>
      <c r="F274">
        <v>6.8181869999999999E-3</v>
      </c>
      <c r="G274">
        <v>1.6142371999999999E-2</v>
      </c>
      <c r="H274">
        <v>8.8384320000000002E-3</v>
      </c>
      <c r="I274">
        <v>9.2268409999999995E-3</v>
      </c>
      <c r="J274">
        <v>1.1540039999999999E-3</v>
      </c>
      <c r="K274">
        <v>-3.1840499999999999E-3</v>
      </c>
      <c r="L274">
        <f t="shared" si="28"/>
        <v>9.0206997064379551E-3</v>
      </c>
      <c r="M274">
        <f t="shared" si="29"/>
        <v>7.5130419088269545E-3</v>
      </c>
      <c r="N274">
        <f t="shared" si="30"/>
        <v>8.3816886567518352E-3</v>
      </c>
      <c r="O274">
        <f t="shared" si="31"/>
        <v>1.1192426858741732E-2</v>
      </c>
      <c r="P274">
        <f t="shared" si="32"/>
        <v>8.1775833522185881E-3</v>
      </c>
    </row>
    <row r="275" spans="1:16" x14ac:dyDescent="0.25">
      <c r="A275" s="2">
        <v>40212</v>
      </c>
      <c r="B275">
        <v>-1.4324559999999999E-3</v>
      </c>
      <c r="C275">
        <v>6.6705499999999995E-4</v>
      </c>
      <c r="D275">
        <v>-5.4894260000000004E-3</v>
      </c>
      <c r="E275">
        <v>-6.6018209999999999E-3</v>
      </c>
      <c r="F275">
        <v>-5.7325240000000001E-3</v>
      </c>
      <c r="G275">
        <v>3.1999379999999998E-3</v>
      </c>
      <c r="H275">
        <v>-8.0433800000000004E-4</v>
      </c>
      <c r="I275">
        <v>-5.9410130000000002E-3</v>
      </c>
      <c r="J275">
        <v>1.1540842000000001E-2</v>
      </c>
      <c r="K275">
        <v>6.6705499999999995E-4</v>
      </c>
      <c r="L275">
        <f t="shared" si="28"/>
        <v>8.6573244190479275E-3</v>
      </c>
      <c r="M275">
        <f t="shared" si="29"/>
        <v>1.3673199961739004E-3</v>
      </c>
      <c r="N275">
        <f t="shared" si="30"/>
        <v>6.787339593807327E-3</v>
      </c>
      <c r="O275">
        <f t="shared" si="31"/>
        <v>2.3433295471022098E-3</v>
      </c>
      <c r="P275">
        <f t="shared" si="32"/>
        <v>8.5617423246294212E-3</v>
      </c>
    </row>
    <row r="276" spans="1:16" x14ac:dyDescent="0.25">
      <c r="A276" s="2">
        <v>40213</v>
      </c>
      <c r="B276">
        <v>-2.9575211000000001E-2</v>
      </c>
      <c r="C276">
        <v>-4.0104449E-2</v>
      </c>
      <c r="D276">
        <v>-3.1635815999999997E-2</v>
      </c>
      <c r="E276">
        <v>-2.4784117000000001E-2</v>
      </c>
      <c r="F276">
        <v>-2.1901495E-2</v>
      </c>
      <c r="G276">
        <v>-4.6579350000000002E-3</v>
      </c>
      <c r="H276">
        <v>-4.8466861999999999E-2</v>
      </c>
      <c r="I276">
        <v>-2.7518735999999999E-2</v>
      </c>
      <c r="J276">
        <v>-1.9774104000000001E-2</v>
      </c>
      <c r="K276">
        <v>-4.0104449E-2</v>
      </c>
      <c r="L276">
        <f t="shared" si="28"/>
        <v>-2.7492336182187278E-2</v>
      </c>
      <c r="M276">
        <f t="shared" si="29"/>
        <v>-1.2801524829861051E-2</v>
      </c>
      <c r="N276">
        <f t="shared" si="30"/>
        <v>-2.6499788595241366E-2</v>
      </c>
      <c r="O276">
        <f t="shared" si="31"/>
        <v>-2.3935321895967573E-2</v>
      </c>
      <c r="P276">
        <f t="shared" si="32"/>
        <v>-2.4914688480595828E-2</v>
      </c>
    </row>
    <row r="277" spans="1:16" x14ac:dyDescent="0.25">
      <c r="A277" s="2">
        <v>40214</v>
      </c>
      <c r="B277">
        <v>-3.8300783999999997E-2</v>
      </c>
      <c r="C277">
        <v>-5.3826568999999998E-2</v>
      </c>
      <c r="D277">
        <v>2.8929720000000002E-3</v>
      </c>
      <c r="E277">
        <v>-1.8035460999999999E-2</v>
      </c>
      <c r="F277">
        <v>-1.537255E-2</v>
      </c>
      <c r="G277">
        <v>-2.9286271999999999E-2</v>
      </c>
      <c r="H277">
        <v>-1.8485573000000002E-2</v>
      </c>
      <c r="I277">
        <v>-2.1005007999999999E-2</v>
      </c>
      <c r="J277">
        <v>-2.7289999999999998E-2</v>
      </c>
      <c r="K277">
        <v>-5.3826568999999998E-2</v>
      </c>
      <c r="L277">
        <f t="shared" si="28"/>
        <v>-3.6022515000386321E-2</v>
      </c>
      <c r="M277">
        <f t="shared" si="29"/>
        <v>-9.1956528585112295E-3</v>
      </c>
      <c r="N277">
        <f t="shared" si="30"/>
        <v>-3.2774025495247147E-2</v>
      </c>
      <c r="O277">
        <f t="shared" si="31"/>
        <v>-2.5032632149375865E-2</v>
      </c>
      <c r="P277">
        <f t="shared" si="32"/>
        <v>-3.4029023193498854E-2</v>
      </c>
    </row>
    <row r="278" spans="1:16" x14ac:dyDescent="0.25">
      <c r="A278" s="2">
        <v>40217</v>
      </c>
      <c r="B278">
        <v>-3.0015785E-2</v>
      </c>
      <c r="C278">
        <v>-3.1003434999999999E-2</v>
      </c>
      <c r="D278">
        <v>-8.9028489999999991E-3</v>
      </c>
      <c r="E278">
        <v>9.2516679999999994E-3</v>
      </c>
      <c r="F278">
        <v>6.1852620000000004E-3</v>
      </c>
      <c r="G278">
        <v>-1.0522409E-2</v>
      </c>
      <c r="H278">
        <v>6.194626E-3</v>
      </c>
      <c r="I278">
        <v>6.9901649999999996E-3</v>
      </c>
      <c r="J278">
        <v>-3.8095339999999998E-3</v>
      </c>
      <c r="K278">
        <v>-3.1003434999999999E-2</v>
      </c>
      <c r="L278">
        <f t="shared" si="28"/>
        <v>-2.7132700128787131E-3</v>
      </c>
      <c r="M278">
        <f t="shared" si="29"/>
        <v>2.9979192136485189E-3</v>
      </c>
      <c r="N278">
        <f t="shared" si="30"/>
        <v>5.8456824616806265E-4</v>
      </c>
      <c r="O278">
        <f t="shared" si="31"/>
        <v>1.6230594919808914E-3</v>
      </c>
      <c r="P278">
        <f t="shared" si="32"/>
        <v>-2.5973993002112879E-3</v>
      </c>
    </row>
    <row r="279" spans="1:16" x14ac:dyDescent="0.25">
      <c r="A279" s="2">
        <v>40218</v>
      </c>
      <c r="B279">
        <v>1.7725400999999998E-2</v>
      </c>
      <c r="C279">
        <v>2.4150030999999999E-2</v>
      </c>
      <c r="D279">
        <v>1.2955814E-2</v>
      </c>
      <c r="E279">
        <v>2.4419329999999999E-3</v>
      </c>
      <c r="F279">
        <v>3.8219980000000001E-3</v>
      </c>
      <c r="G279">
        <v>-1.902969E-3</v>
      </c>
      <c r="H279">
        <v>2.4479015999999999E-2</v>
      </c>
      <c r="I279">
        <v>2.8126470000000002E-3</v>
      </c>
      <c r="J279">
        <v>1.2960538000000001E-2</v>
      </c>
      <c r="K279">
        <v>2.4150030999999999E-2</v>
      </c>
      <c r="L279">
        <f t="shared" si="28"/>
        <v>9.6271743357288844E-3</v>
      </c>
      <c r="M279">
        <f t="shared" si="29"/>
        <v>6.7147455860261072E-3</v>
      </c>
      <c r="N279">
        <f t="shared" si="30"/>
        <v>1.0676130493163034E-2</v>
      </c>
      <c r="O279">
        <f t="shared" si="31"/>
        <v>8.6272813840934364E-3</v>
      </c>
      <c r="P279">
        <f t="shared" si="32"/>
        <v>9.9421574650047657E-3</v>
      </c>
    </row>
    <row r="280" spans="1:16" x14ac:dyDescent="0.25">
      <c r="A280" s="2">
        <v>40219</v>
      </c>
      <c r="B280">
        <v>-5.1060400000000001E-3</v>
      </c>
      <c r="C280">
        <v>-2.7759899999999999E-3</v>
      </c>
      <c r="D280">
        <v>7.3988580000000003E-3</v>
      </c>
      <c r="E280">
        <v>6.9073729999999996E-3</v>
      </c>
      <c r="F280">
        <v>3.9438540000000001E-3</v>
      </c>
      <c r="G280">
        <v>1.5909377999999998E-2</v>
      </c>
      <c r="H280">
        <v>2.1568009999999999E-2</v>
      </c>
      <c r="I280">
        <v>5.9737519999999997E-3</v>
      </c>
      <c r="J280">
        <v>3.3369979999999999E-3</v>
      </c>
      <c r="K280">
        <v>-2.7759899999999999E-3</v>
      </c>
      <c r="L280">
        <f t="shared" si="28"/>
        <v>4.3964789647153012E-3</v>
      </c>
      <c r="M280">
        <f t="shared" si="29"/>
        <v>7.3756255674689228E-3</v>
      </c>
      <c r="N280">
        <f t="shared" si="30"/>
        <v>7.281468320816574E-3</v>
      </c>
      <c r="O280">
        <f t="shared" si="31"/>
        <v>9.9613760551038478E-3</v>
      </c>
      <c r="P280">
        <f t="shared" si="32"/>
        <v>3.9269842472004959E-3</v>
      </c>
    </row>
    <row r="281" spans="1:16" x14ac:dyDescent="0.25">
      <c r="A281" s="2">
        <v>40220</v>
      </c>
      <c r="B281">
        <v>1.5960155E-2</v>
      </c>
      <c r="C281">
        <v>1.3763277000000001E-2</v>
      </c>
      <c r="D281">
        <v>0</v>
      </c>
      <c r="E281">
        <v>-5.8766690000000002E-3</v>
      </c>
      <c r="F281">
        <v>5.7317879999999998E-3</v>
      </c>
      <c r="G281">
        <v>0</v>
      </c>
      <c r="H281">
        <v>0</v>
      </c>
      <c r="I281">
        <v>5.20113E-4</v>
      </c>
      <c r="J281">
        <v>1.1111299999999999E-2</v>
      </c>
      <c r="K281">
        <v>1.3763277000000001E-2</v>
      </c>
      <c r="L281">
        <f t="shared" si="28"/>
        <v>1.0653463927421385E-2</v>
      </c>
      <c r="M281">
        <f t="shared" si="29"/>
        <v>3.1837532021626873E-3</v>
      </c>
      <c r="N281">
        <f t="shared" si="30"/>
        <v>9.5955617628504519E-3</v>
      </c>
      <c r="O281">
        <f t="shared" si="31"/>
        <v>5.2750000290082057E-3</v>
      </c>
      <c r="P281">
        <f t="shared" si="32"/>
        <v>1.2523670853893483E-2</v>
      </c>
    </row>
    <row r="282" spans="1:16" x14ac:dyDescent="0.25">
      <c r="A282" s="2">
        <v>40221</v>
      </c>
      <c r="B282">
        <v>-6.1930099999999997E-3</v>
      </c>
      <c r="C282">
        <v>-9.2441390000000002E-3</v>
      </c>
      <c r="D282">
        <v>-2.748402E-3</v>
      </c>
      <c r="E282">
        <v>-6.4338399999999999E-4</v>
      </c>
      <c r="F282">
        <v>-3.6878919999999999E-3</v>
      </c>
      <c r="G282">
        <v>0</v>
      </c>
      <c r="H282">
        <v>-4.1520239999999998E-3</v>
      </c>
      <c r="I282">
        <v>-3.4731710000000002E-3</v>
      </c>
      <c r="J282">
        <v>-2.3541579999999999E-3</v>
      </c>
      <c r="K282">
        <v>-9.2441390000000002E-3</v>
      </c>
      <c r="L282">
        <f t="shared" si="28"/>
        <v>-2.5870937536788823E-3</v>
      </c>
      <c r="M282">
        <f t="shared" si="29"/>
        <v>7.3508058346400274E-4</v>
      </c>
      <c r="N282">
        <f t="shared" si="30"/>
        <v>-2.2586782222398256E-3</v>
      </c>
      <c r="O282">
        <f t="shared" si="31"/>
        <v>-1.1576881151239874E-3</v>
      </c>
      <c r="P282">
        <f t="shared" si="32"/>
        <v>-2.5097261291682355E-3</v>
      </c>
    </row>
    <row r="283" spans="1:16" x14ac:dyDescent="0.25">
      <c r="A283" s="2">
        <v>40224</v>
      </c>
      <c r="B283">
        <v>5.2852589999999996E-3</v>
      </c>
      <c r="C283">
        <v>6.2109330000000001E-3</v>
      </c>
      <c r="D283">
        <v>1.7840667000000001E-2</v>
      </c>
      <c r="E283">
        <v>1.9452409999999999E-3</v>
      </c>
      <c r="F283">
        <v>4.8496700000000004E-3</v>
      </c>
      <c r="G283">
        <v>-7.8476480000000005E-3</v>
      </c>
      <c r="H283">
        <v>2.1481974000000001E-2</v>
      </c>
      <c r="I283">
        <v>2.9322860000000001E-3</v>
      </c>
      <c r="J283">
        <v>2.296293E-3</v>
      </c>
      <c r="K283">
        <v>6.2109330000000001E-3</v>
      </c>
      <c r="L283">
        <f t="shared" si="28"/>
        <v>2.89191717150234E-4</v>
      </c>
      <c r="M283">
        <f t="shared" si="29"/>
        <v>5.3562937700357954E-3</v>
      </c>
      <c r="N283">
        <f t="shared" si="30"/>
        <v>2.3606961822147396E-3</v>
      </c>
      <c r="O283">
        <f t="shared" si="31"/>
        <v>3.9699924824220115E-3</v>
      </c>
      <c r="P283">
        <f t="shared" si="32"/>
        <v>8.7832257211448508E-4</v>
      </c>
    </row>
    <row r="284" spans="1:16" x14ac:dyDescent="0.25">
      <c r="A284" s="2">
        <v>40225</v>
      </c>
      <c r="B284">
        <v>8.0339639999999993E-3</v>
      </c>
      <c r="C284">
        <v>1.1155246000000001E-2</v>
      </c>
      <c r="D284">
        <v>0</v>
      </c>
      <c r="E284">
        <v>1.4594223999999999E-2</v>
      </c>
      <c r="F284">
        <v>1.4714623E-2</v>
      </c>
      <c r="G284">
        <v>2.0900319999999999E-3</v>
      </c>
      <c r="H284">
        <v>0</v>
      </c>
      <c r="I284">
        <v>1.261871E-2</v>
      </c>
      <c r="J284">
        <v>5.9473440000000002E-3</v>
      </c>
      <c r="K284">
        <v>1.1155246000000001E-2</v>
      </c>
      <c r="L284">
        <f t="shared" si="28"/>
        <v>1.2627682517770992E-2</v>
      </c>
      <c r="M284">
        <f t="shared" si="29"/>
        <v>6.947201691744273E-3</v>
      </c>
      <c r="N284">
        <f t="shared" si="30"/>
        <v>1.2863747006078622E-2</v>
      </c>
      <c r="O284">
        <f t="shared" si="31"/>
        <v>1.1875463512559217E-2</v>
      </c>
      <c r="P284">
        <f t="shared" si="32"/>
        <v>1.4124877060346883E-2</v>
      </c>
    </row>
    <row r="285" spans="1:16" x14ac:dyDescent="0.25">
      <c r="A285" s="2">
        <v>40226</v>
      </c>
      <c r="B285">
        <v>2.9039821E-2</v>
      </c>
      <c r="C285">
        <v>3.2506145E-2</v>
      </c>
      <c r="D285">
        <v>4.2289909999999997E-3</v>
      </c>
      <c r="E285">
        <v>1.0003233E-2</v>
      </c>
      <c r="F285">
        <v>6.1783159999999997E-3</v>
      </c>
      <c r="G285">
        <v>2.6802540999999999E-2</v>
      </c>
      <c r="H285">
        <v>0</v>
      </c>
      <c r="I285">
        <v>1.0460354E-2</v>
      </c>
      <c r="J285">
        <v>1.0310325E-2</v>
      </c>
      <c r="K285">
        <v>3.2506145E-2</v>
      </c>
      <c r="L285">
        <f t="shared" si="28"/>
        <v>2.1535181580460229E-2</v>
      </c>
      <c r="M285">
        <f t="shared" si="29"/>
        <v>8.1614749441255002E-3</v>
      </c>
      <c r="N285">
        <f t="shared" si="30"/>
        <v>1.7542049588791114E-2</v>
      </c>
      <c r="O285">
        <f t="shared" si="31"/>
        <v>1.6193476364967128E-2</v>
      </c>
      <c r="P285">
        <f t="shared" si="32"/>
        <v>1.9897228320548278E-2</v>
      </c>
    </row>
    <row r="286" spans="1:16" x14ac:dyDescent="0.25">
      <c r="A286" s="2">
        <v>40227</v>
      </c>
      <c r="B286">
        <v>-1.5578936999999999E-2</v>
      </c>
      <c r="C286">
        <v>-2.4484193000000001E-2</v>
      </c>
      <c r="D286">
        <v>6.563167E-3</v>
      </c>
      <c r="E286">
        <v>5.6617170000000001E-3</v>
      </c>
      <c r="F286">
        <v>9.1495399999999994E-3</v>
      </c>
      <c r="G286">
        <v>2.796172E-3</v>
      </c>
      <c r="H286">
        <v>8.1556979999999994E-3</v>
      </c>
      <c r="I286">
        <v>7.0583429999999999E-3</v>
      </c>
      <c r="J286">
        <v>-2.3261620000000001E-3</v>
      </c>
      <c r="K286">
        <v>-2.4484193000000001E-2</v>
      </c>
      <c r="L286">
        <f t="shared" si="28"/>
        <v>7.9096521541420104E-4</v>
      </c>
      <c r="M286">
        <f t="shared" si="29"/>
        <v>5.2226449968944318E-3</v>
      </c>
      <c r="N286">
        <f t="shared" si="30"/>
        <v>3.0922450709121706E-3</v>
      </c>
      <c r="O286">
        <f t="shared" si="31"/>
        <v>5.7970445816496272E-3</v>
      </c>
      <c r="P286">
        <f t="shared" si="32"/>
        <v>1.8871406701674747E-3</v>
      </c>
    </row>
    <row r="287" spans="1:16" x14ac:dyDescent="0.25">
      <c r="A287" s="2">
        <v>40228</v>
      </c>
      <c r="B287">
        <v>1.6435847E-2</v>
      </c>
      <c r="C287">
        <v>1.2866974999999999E-2</v>
      </c>
      <c r="D287">
        <v>2.1841949999999999E-3</v>
      </c>
      <c r="E287">
        <v>7.3037199999999997E-3</v>
      </c>
      <c r="F287">
        <v>6.1966069999999998E-3</v>
      </c>
      <c r="G287">
        <v>-2.0735598000000001E-2</v>
      </c>
      <c r="H287">
        <v>-3.5294240000000002E-3</v>
      </c>
      <c r="I287">
        <v>6.7431820000000003E-3</v>
      </c>
      <c r="J287">
        <v>-8.2352510000000007E-3</v>
      </c>
      <c r="K287">
        <v>1.2866974999999999E-2</v>
      </c>
      <c r="L287">
        <f t="shared" si="28"/>
        <v>-2.9442814006420269E-3</v>
      </c>
      <c r="M287">
        <f t="shared" si="29"/>
        <v>1.5873325877435445E-3</v>
      </c>
      <c r="N287">
        <f t="shared" si="30"/>
        <v>-3.222454692762609E-3</v>
      </c>
      <c r="O287">
        <f t="shared" si="31"/>
        <v>-1.7855890236017395E-3</v>
      </c>
      <c r="P287">
        <f t="shared" si="32"/>
        <v>-3.3395570562133659E-3</v>
      </c>
    </row>
    <row r="288" spans="1:16" x14ac:dyDescent="0.25">
      <c r="A288" s="2">
        <v>40231</v>
      </c>
      <c r="B288">
        <v>-1.3711427999999999E-2</v>
      </c>
      <c r="C288">
        <v>-7.8253990000000002E-3</v>
      </c>
      <c r="D288">
        <v>-1.0463740000000001E-3</v>
      </c>
      <c r="E288">
        <v>-5.8910869999999997E-3</v>
      </c>
      <c r="F288">
        <v>-1.1390910000000001E-3</v>
      </c>
      <c r="G288">
        <v>2.6983640999999999E-2</v>
      </c>
      <c r="H288">
        <v>-6.128479E-3</v>
      </c>
      <c r="I288">
        <v>-2.7082429999999999E-3</v>
      </c>
      <c r="J288">
        <v>8.0188180000000005E-3</v>
      </c>
      <c r="K288">
        <v>-7.8253990000000002E-3</v>
      </c>
      <c r="L288">
        <f t="shared" si="28"/>
        <v>1.060738126516066E-2</v>
      </c>
      <c r="M288">
        <f t="shared" si="29"/>
        <v>3.582953841053923E-3</v>
      </c>
      <c r="N288">
        <f t="shared" si="30"/>
        <v>8.816900968990949E-3</v>
      </c>
      <c r="O288">
        <f t="shared" si="31"/>
        <v>7.7549801325024993E-3</v>
      </c>
      <c r="P288">
        <f t="shared" si="32"/>
        <v>1.1330687842420828E-2</v>
      </c>
    </row>
  </sheetData>
  <mergeCells count="1">
    <mergeCell ref="D1:J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252"/>
  <sheetViews>
    <sheetView tabSelected="1" topLeftCell="N25" workbookViewId="0">
      <selection activeCell="T34" sqref="T34"/>
    </sheetView>
  </sheetViews>
  <sheetFormatPr baseColWidth="10" defaultRowHeight="15" x14ac:dyDescent="0.25"/>
  <cols>
    <col min="20" max="20" width="11.85546875" bestFit="1" customWidth="1"/>
  </cols>
  <sheetData>
    <row r="1" spans="1:25" x14ac:dyDescent="0.25">
      <c r="B1" s="5" t="s">
        <v>10</v>
      </c>
      <c r="C1" s="5" t="s">
        <v>11</v>
      </c>
      <c r="D1" s="6" t="s">
        <v>0</v>
      </c>
      <c r="E1" s="6"/>
      <c r="F1" s="6"/>
      <c r="G1" s="6"/>
      <c r="H1" s="6"/>
      <c r="I1" s="6"/>
      <c r="J1" s="6"/>
    </row>
    <row r="2" spans="1:25" x14ac:dyDescent="0.25">
      <c r="A2" s="3" t="s">
        <v>1</v>
      </c>
      <c r="B2" s="4" t="s">
        <v>2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7</v>
      </c>
      <c r="I2" s="4" t="s">
        <v>8</v>
      </c>
      <c r="J2" s="4" t="s">
        <v>9</v>
      </c>
      <c r="K2" s="7" t="s">
        <v>2</v>
      </c>
      <c r="L2" s="7" t="s">
        <v>15</v>
      </c>
      <c r="M2" s="7" t="s">
        <v>16</v>
      </c>
      <c r="N2" s="7" t="s">
        <v>17</v>
      </c>
      <c r="O2" s="7" t="s">
        <v>18</v>
      </c>
      <c r="P2" s="7" t="s">
        <v>31</v>
      </c>
    </row>
    <row r="3" spans="1:25" x14ac:dyDescent="0.25">
      <c r="A3" s="2">
        <v>40232</v>
      </c>
      <c r="B3">
        <v>-2.262045E-2</v>
      </c>
      <c r="C3">
        <v>-3.2981933999999997E-2</v>
      </c>
      <c r="D3">
        <v>-1.2176614000000001E-2</v>
      </c>
      <c r="E3">
        <v>-1.4942926E-2</v>
      </c>
      <c r="F3">
        <v>-6.9371809999999997E-3</v>
      </c>
      <c r="G3">
        <v>-4.6616000000000001E-3</v>
      </c>
      <c r="H3">
        <v>-1.6145356E-2</v>
      </c>
      <c r="I3">
        <v>-1.1454109000000001E-2</v>
      </c>
      <c r="J3">
        <v>-1.8261449999999999E-3</v>
      </c>
      <c r="K3">
        <v>-3.2981933999999997E-2</v>
      </c>
      <c r="L3">
        <f>SUMPRODUCT(D3:J3,$R$8:$X$8)+$Y$8</f>
        <v>-6.1182484650752055E-3</v>
      </c>
      <c r="M3">
        <f>SUMPRODUCT(D3:J3,$R$16:$X$16)+$Y$16</f>
        <v>-3.6002037442574041E-3</v>
      </c>
      <c r="N3">
        <f>SUMPRODUCT(D3:J3,$R$24:$X$24)+$Y$24</f>
        <v>-6.227721784371228E-3</v>
      </c>
      <c r="O3">
        <f>SUMPRODUCT(D3:J3,$R$32:$X$32)+$Y$32</f>
        <v>-7.8149199927534264E-3</v>
      </c>
      <c r="P3">
        <f>SUMPRODUCT(D3:J3,$R$40:$X$40)+$Y$40</f>
        <v>-4.4878409266693037E-3</v>
      </c>
    </row>
    <row r="4" spans="1:25" x14ac:dyDescent="0.25">
      <c r="A4" s="2">
        <v>40233</v>
      </c>
      <c r="B4">
        <v>-3.4769380000000003E-2</v>
      </c>
      <c r="C4">
        <v>-4.3526856000000003E-2</v>
      </c>
      <c r="D4">
        <v>9.6735060000000001E-3</v>
      </c>
      <c r="E4">
        <v>2.0392930000000002E-3</v>
      </c>
      <c r="F4">
        <v>5.21675E-3</v>
      </c>
      <c r="G4">
        <v>-1.491639E-2</v>
      </c>
      <c r="H4">
        <v>-4.7459210000000002E-3</v>
      </c>
      <c r="I4">
        <v>3.1222440000000001E-3</v>
      </c>
      <c r="J4">
        <v>-6.394627E-3</v>
      </c>
      <c r="K4">
        <v>-4.3526856000000003E-2</v>
      </c>
      <c r="L4">
        <f t="shared" ref="L4:L67" si="0">SUMPRODUCT(D4:J4,$R$8:$X$8)+$Y$8</f>
        <v>-2.1769067162514615E-3</v>
      </c>
      <c r="M4">
        <f t="shared" ref="M4:M67" si="1">SUMPRODUCT(D4:J4,$R$16:$X$16)+$Y$16</f>
        <v>1.6391457267130123E-3</v>
      </c>
      <c r="N4">
        <f t="shared" ref="N4:N67" si="2">SUMPRODUCT(D4:J4,$R$24:$X$24)+$Y$24</f>
        <v>-3.11832466124969E-3</v>
      </c>
      <c r="O4">
        <f t="shared" ref="O4:O67" si="3">SUMPRODUCT(D4:J4,$R$32:$X$32)+$Y$32</f>
        <v>-1.3972045515370289E-3</v>
      </c>
      <c r="P4">
        <f t="shared" ref="P4:P67" si="4">SUMPRODUCT(D4:J4,$R$40:$X$40)+$Y$40</f>
        <v>-1.6245868104588063E-3</v>
      </c>
    </row>
    <row r="5" spans="1:25" x14ac:dyDescent="0.25">
      <c r="A5" s="2">
        <v>40234</v>
      </c>
      <c r="B5">
        <v>-1.8702566E-2</v>
      </c>
      <c r="C5">
        <v>-2.0265320999999999E-2</v>
      </c>
      <c r="D5">
        <v>-2.0831640000000002E-3</v>
      </c>
      <c r="E5">
        <v>-1.4923347E-2</v>
      </c>
      <c r="F5">
        <v>-1.2183446000000001E-2</v>
      </c>
      <c r="G5">
        <v>-9.5435429999999998E-3</v>
      </c>
      <c r="H5">
        <v>4.9425490000000001E-3</v>
      </c>
      <c r="I5">
        <v>-1.4050056E-2</v>
      </c>
      <c r="J5">
        <v>-6.9276620000000002E-3</v>
      </c>
      <c r="K5">
        <v>-2.0265320999999999E-2</v>
      </c>
      <c r="L5">
        <f t="shared" si="0"/>
        <v>-1.6482657708252215E-2</v>
      </c>
      <c r="M5">
        <f t="shared" si="1"/>
        <v>-3.0530051417063781E-3</v>
      </c>
      <c r="N5">
        <f t="shared" si="2"/>
        <v>-1.3266598735272913E-2</v>
      </c>
      <c r="O5">
        <f t="shared" si="3"/>
        <v>-1.1039241927729978E-2</v>
      </c>
      <c r="P5">
        <f t="shared" si="4"/>
        <v>-1.6017923926270276E-2</v>
      </c>
    </row>
    <row r="6" spans="1:25" x14ac:dyDescent="0.25">
      <c r="A6" s="2">
        <v>40235</v>
      </c>
      <c r="B6">
        <v>1.9627036E-2</v>
      </c>
      <c r="C6">
        <v>2.2167026999999999E-2</v>
      </c>
      <c r="D6">
        <v>1.4043479999999999E-3</v>
      </c>
      <c r="E6">
        <v>1.1882495E-2</v>
      </c>
      <c r="F6">
        <v>1.4352198E-2</v>
      </c>
      <c r="G6">
        <v>2.3798719999999999E-3</v>
      </c>
      <c r="H6">
        <v>5.7606630000000001E-3</v>
      </c>
      <c r="I6">
        <v>1.3824601000000001E-2</v>
      </c>
      <c r="J6">
        <v>7.7457929999999999E-3</v>
      </c>
      <c r="K6">
        <v>2.2167026999999999E-2</v>
      </c>
      <c r="L6">
        <f t="shared" si="0"/>
        <v>1.494663235393822E-2</v>
      </c>
      <c r="M6">
        <f t="shared" si="1"/>
        <v>7.4433021324007576E-3</v>
      </c>
      <c r="N6">
        <f t="shared" si="2"/>
        <v>1.4453246542603326E-2</v>
      </c>
      <c r="O6">
        <f t="shared" si="3"/>
        <v>1.2478191198031143E-2</v>
      </c>
      <c r="P6">
        <f t="shared" si="4"/>
        <v>1.5378053234384055E-2</v>
      </c>
      <c r="R6" t="s">
        <v>12</v>
      </c>
    </row>
    <row r="7" spans="1:25" x14ac:dyDescent="0.25">
      <c r="A7" s="2">
        <v>40238</v>
      </c>
      <c r="B7">
        <v>2.9306318000000001E-2</v>
      </c>
      <c r="C7">
        <v>2.9827052E-2</v>
      </c>
      <c r="D7">
        <v>1.0107283999999999E-2</v>
      </c>
      <c r="E7">
        <v>2.0341985999999999E-2</v>
      </c>
      <c r="F7">
        <v>9.553621E-3</v>
      </c>
      <c r="G7">
        <v>4.5354100000000001E-3</v>
      </c>
      <c r="H7">
        <v>1.0842767999999999E-2</v>
      </c>
      <c r="I7">
        <v>1.3641532E-2</v>
      </c>
      <c r="J7">
        <v>1.1574976000000001E-2</v>
      </c>
      <c r="K7">
        <v>2.9827052E-2</v>
      </c>
      <c r="L7">
        <f t="shared" si="0"/>
        <v>1.9612445182218774E-2</v>
      </c>
      <c r="M7">
        <f t="shared" si="1"/>
        <v>9.3801393931913762E-3</v>
      </c>
      <c r="N7">
        <f t="shared" si="2"/>
        <v>1.7387756180696858E-2</v>
      </c>
      <c r="O7">
        <f t="shared" si="3"/>
        <v>1.585590522582539E-2</v>
      </c>
      <c r="P7">
        <f t="shared" si="4"/>
        <v>1.8376710407315786E-2</v>
      </c>
      <c r="R7" s="4" t="s">
        <v>3</v>
      </c>
      <c r="S7" s="4" t="s">
        <v>4</v>
      </c>
      <c r="T7" s="4" t="s">
        <v>5</v>
      </c>
      <c r="U7" s="4" t="s">
        <v>6</v>
      </c>
      <c r="V7" s="4" t="s">
        <v>7</v>
      </c>
      <c r="W7" s="4" t="s">
        <v>8</v>
      </c>
      <c r="X7" s="4" t="s">
        <v>9</v>
      </c>
      <c r="Y7" s="7" t="s">
        <v>13</v>
      </c>
    </row>
    <row r="8" spans="1:25" x14ac:dyDescent="0.25">
      <c r="A8" s="2">
        <v>40239</v>
      </c>
      <c r="B8">
        <v>5.6961080000000001E-3</v>
      </c>
      <c r="C8">
        <v>8.1772140000000004E-3</v>
      </c>
      <c r="D8">
        <v>2.3276439999999998E-3</v>
      </c>
      <c r="E8">
        <v>1.0974803999999999E-2</v>
      </c>
      <c r="F8">
        <v>1.4362046999999999E-2</v>
      </c>
      <c r="G8">
        <v>4.8818619999999998E-3</v>
      </c>
      <c r="H8">
        <v>8.162585E-3</v>
      </c>
      <c r="I8">
        <v>1.0262271999999999E-2</v>
      </c>
      <c r="J8">
        <v>8.2837399999999995E-3</v>
      </c>
      <c r="K8">
        <v>8.1772140000000004E-3</v>
      </c>
      <c r="L8">
        <f t="shared" si="0"/>
        <v>1.0971679928915578E-2</v>
      </c>
      <c r="M8">
        <f t="shared" si="1"/>
        <v>7.4759567709852988E-3</v>
      </c>
      <c r="N8">
        <f t="shared" si="2"/>
        <v>1.3047078036130453E-2</v>
      </c>
      <c r="O8">
        <f t="shared" si="3"/>
        <v>1.2258950670193853E-2</v>
      </c>
      <c r="P8">
        <f t="shared" si="4"/>
        <v>1.3335576676257973E-2</v>
      </c>
      <c r="R8">
        <f>entrenamiento!R8</f>
        <v>0.16775135373670794</v>
      </c>
      <c r="S8">
        <f>entrenamiento!S8</f>
        <v>-0.15252399551539822</v>
      </c>
      <c r="T8">
        <f>entrenamiento!T8</f>
        <v>-0.49139699561570743</v>
      </c>
      <c r="U8">
        <f>entrenamiento!U8</f>
        <v>6.5912616655488546E-2</v>
      </c>
      <c r="V8">
        <f>entrenamiento!V8</f>
        <v>-0.2969611894344264</v>
      </c>
      <c r="W8">
        <f>entrenamiento!W8</f>
        <v>1.1897033995257034</v>
      </c>
      <c r="X8">
        <f>entrenamiento!X8</f>
        <v>0.97228604287405929</v>
      </c>
      <c r="Y8">
        <f>entrenamiento!Y8</f>
        <v>1.1515721815020239E-3</v>
      </c>
    </row>
    <row r="9" spans="1:25" x14ac:dyDescent="0.25">
      <c r="A9" s="2">
        <v>40240</v>
      </c>
      <c r="B9">
        <v>4.3215900000000002E-3</v>
      </c>
      <c r="C9">
        <v>3.7990379999999998E-3</v>
      </c>
      <c r="D9">
        <v>4.2912700000000001E-4</v>
      </c>
      <c r="E9">
        <v>7.1275840000000002E-3</v>
      </c>
      <c r="F9">
        <v>8.9133140000000003E-3</v>
      </c>
      <c r="G9">
        <v>3.0573919999999999E-3</v>
      </c>
      <c r="H9">
        <v>-2.0381039999999998E-3</v>
      </c>
      <c r="I9">
        <v>8.0066589999999993E-3</v>
      </c>
      <c r="J9">
        <v>3.711996E-3</v>
      </c>
      <c r="K9">
        <v>3.7990379999999998E-3</v>
      </c>
      <c r="L9">
        <f t="shared" si="0"/>
        <v>9.6978853340859705E-3</v>
      </c>
      <c r="M9">
        <f t="shared" si="1"/>
        <v>4.9529088881615285E-3</v>
      </c>
      <c r="N9">
        <f t="shared" si="2"/>
        <v>8.8042996056683677E-3</v>
      </c>
      <c r="O9">
        <f t="shared" si="3"/>
        <v>7.9307584883942326E-3</v>
      </c>
      <c r="P9">
        <f t="shared" si="4"/>
        <v>1.0245276832011792E-2</v>
      </c>
    </row>
    <row r="10" spans="1:25" x14ac:dyDescent="0.25">
      <c r="A10" s="2">
        <v>40241</v>
      </c>
      <c r="B10">
        <v>-5.0095239999999996E-3</v>
      </c>
      <c r="C10">
        <v>-8.7260900000000006E-3</v>
      </c>
      <c r="D10">
        <v>3.7292169999999999E-3</v>
      </c>
      <c r="E10">
        <v>-3.885239E-3</v>
      </c>
      <c r="F10">
        <v>-1.0849519999999999E-3</v>
      </c>
      <c r="G10">
        <v>-1.0532058E-2</v>
      </c>
      <c r="H10">
        <v>2.5691009999999999E-3</v>
      </c>
      <c r="I10">
        <v>-6.1705699999999996E-4</v>
      </c>
      <c r="J10">
        <v>-4.0674709999999996E-3</v>
      </c>
      <c r="K10">
        <v>-8.7260900000000006E-3</v>
      </c>
      <c r="L10">
        <f t="shared" si="0"/>
        <v>-3.2430911733511984E-3</v>
      </c>
      <c r="M10">
        <f t="shared" si="1"/>
        <v>7.9979935639895648E-4</v>
      </c>
      <c r="N10">
        <f t="shared" si="2"/>
        <v>-3.5906505846282277E-3</v>
      </c>
      <c r="O10">
        <f t="shared" si="3"/>
        <v>-2.9279349684632203E-3</v>
      </c>
      <c r="P10">
        <f t="shared" si="4"/>
        <v>-3.9792465362767995E-3</v>
      </c>
      <c r="R10" t="s">
        <v>25</v>
      </c>
      <c r="T10">
        <f>SUMPRODUCT(K3:K252-L3:L252,K3:K252-L3:L252)</f>
        <v>3.6625760188613264E-2</v>
      </c>
    </row>
    <row r="11" spans="1:25" x14ac:dyDescent="0.25">
      <c r="A11" s="2">
        <v>40242</v>
      </c>
      <c r="B11">
        <v>2.2773380999999999E-2</v>
      </c>
      <c r="C11">
        <v>2.2575537E-2</v>
      </c>
      <c r="D11">
        <v>1.39103E-2</v>
      </c>
      <c r="E11">
        <v>1.4056986E-2</v>
      </c>
      <c r="F11">
        <v>1.3049524999999999E-2</v>
      </c>
      <c r="G11">
        <v>2.1764786000000001E-2</v>
      </c>
      <c r="H11">
        <v>1.5103241999999999E-2</v>
      </c>
      <c r="I11">
        <v>1.4754494999999999E-2</v>
      </c>
      <c r="J11">
        <v>1.0645201E-2</v>
      </c>
      <c r="K11">
        <v>2.2575537E-2</v>
      </c>
      <c r="L11">
        <f t="shared" si="0"/>
        <v>1.9781669291794403E-2</v>
      </c>
      <c r="M11">
        <f t="shared" si="1"/>
        <v>1.0927466287824605E-2</v>
      </c>
      <c r="N11">
        <f t="shared" si="2"/>
        <v>1.872672324579415E-2</v>
      </c>
      <c r="O11">
        <f t="shared" si="3"/>
        <v>1.8948535650344114E-2</v>
      </c>
      <c r="P11">
        <f t="shared" si="4"/>
        <v>1.936147982414094E-2</v>
      </c>
      <c r="R11" t="s">
        <v>26</v>
      </c>
      <c r="T11">
        <f>(T10/COUNT($K$3:$K$252))^(1/2)</f>
        <v>1.2103844048667062E-2</v>
      </c>
    </row>
    <row r="12" spans="1:25" x14ac:dyDescent="0.25">
      <c r="A12" s="2">
        <v>40245</v>
      </c>
      <c r="B12">
        <v>1.266815E-2</v>
      </c>
      <c r="C12">
        <v>2.2410943999999999E-2</v>
      </c>
      <c r="D12">
        <v>-1.75654E-4</v>
      </c>
      <c r="E12">
        <v>-2.4674000000000001E-4</v>
      </c>
      <c r="F12">
        <v>1.2314279999999999E-3</v>
      </c>
      <c r="G12">
        <v>2.0708087999999999E-2</v>
      </c>
      <c r="H12">
        <v>-3.9586140000000001E-3</v>
      </c>
      <c r="I12">
        <v>1.064674E-3</v>
      </c>
      <c r="J12">
        <v>9.7562689999999997E-3</v>
      </c>
      <c r="K12">
        <v>2.2410943999999999E-2</v>
      </c>
      <c r="L12">
        <f t="shared" si="0"/>
        <v>1.3847629180724545E-2</v>
      </c>
      <c r="M12">
        <f t="shared" si="1"/>
        <v>4.6405626742135183E-3</v>
      </c>
      <c r="N12">
        <f t="shared" si="2"/>
        <v>1.1456201884528908E-2</v>
      </c>
      <c r="O12">
        <f t="shared" si="3"/>
        <v>9.4957324776265492E-3</v>
      </c>
      <c r="P12">
        <f t="shared" si="4"/>
        <v>1.4025876230663117E-2</v>
      </c>
      <c r="R12" t="s">
        <v>24</v>
      </c>
      <c r="T12">
        <f>maxerror(K3:K252,L3:L252)</f>
        <v>4.1349949283748542E-2</v>
      </c>
    </row>
    <row r="13" spans="1:25" x14ac:dyDescent="0.25">
      <c r="A13" s="2">
        <v>40246</v>
      </c>
      <c r="B13">
        <v>-6.3352570000000004E-3</v>
      </c>
      <c r="C13">
        <v>-1.2297361999999999E-2</v>
      </c>
      <c r="D13">
        <v>1.7113149999999999E-3</v>
      </c>
      <c r="E13">
        <v>1.69702E-3</v>
      </c>
      <c r="F13">
        <v>-7.85083E-4</v>
      </c>
      <c r="G13">
        <v>-1.727368E-3</v>
      </c>
      <c r="H13">
        <v>1.4491643E-2</v>
      </c>
      <c r="I13">
        <v>-3.0382599999999999E-4</v>
      </c>
      <c r="J13">
        <v>1.2884319999999999E-3</v>
      </c>
      <c r="K13">
        <v>-1.2297361999999999E-2</v>
      </c>
      <c r="L13">
        <f t="shared" si="0"/>
        <v>-1.9604505151566399E-3</v>
      </c>
      <c r="M13">
        <f t="shared" si="1"/>
        <v>3.3590007222715247E-3</v>
      </c>
      <c r="N13">
        <f t="shared" si="2"/>
        <v>8.2498598142748179E-4</v>
      </c>
      <c r="O13">
        <f t="shared" si="3"/>
        <v>1.9636273754977101E-3</v>
      </c>
      <c r="P13">
        <f t="shared" si="4"/>
        <v>-1.9687333826462964E-3</v>
      </c>
    </row>
    <row r="14" spans="1:25" x14ac:dyDescent="0.25">
      <c r="A14" s="2">
        <v>40247</v>
      </c>
      <c r="B14">
        <v>-3.9155140000000001E-3</v>
      </c>
      <c r="C14">
        <v>-2.936129E-3</v>
      </c>
      <c r="D14">
        <v>4.5143249999999996E-3</v>
      </c>
      <c r="E14">
        <v>8.5988309999999995E-3</v>
      </c>
      <c r="F14">
        <v>6.8132150000000001E-3</v>
      </c>
      <c r="G14">
        <v>-3.5302599999999999E-4</v>
      </c>
      <c r="H14">
        <v>5.775517E-3</v>
      </c>
      <c r="I14">
        <v>7.955017E-3</v>
      </c>
      <c r="J14">
        <v>2.8521829999999999E-3</v>
      </c>
      <c r="K14">
        <v>-2.936129E-3</v>
      </c>
      <c r="L14">
        <f t="shared" si="0"/>
        <v>7.748210094575202E-3</v>
      </c>
      <c r="M14">
        <f t="shared" si="1"/>
        <v>5.385330845611493E-3</v>
      </c>
      <c r="N14">
        <f t="shared" si="2"/>
        <v>7.3203947507493603E-3</v>
      </c>
      <c r="O14">
        <f t="shared" si="3"/>
        <v>7.2770302063104404E-3</v>
      </c>
      <c r="P14">
        <f t="shared" si="4"/>
        <v>7.3658940694172857E-3</v>
      </c>
      <c r="R14" t="s">
        <v>19</v>
      </c>
    </row>
    <row r="15" spans="1:25" x14ac:dyDescent="0.25">
      <c r="A15" s="2">
        <v>40248</v>
      </c>
      <c r="B15">
        <v>-7.1616709999999997E-3</v>
      </c>
      <c r="C15">
        <v>-5.5874719999999996E-3</v>
      </c>
      <c r="D15">
        <v>4.0333699999999997E-3</v>
      </c>
      <c r="E15">
        <v>-1.363635E-3</v>
      </c>
      <c r="F15">
        <v>-4.1393209999999996E-3</v>
      </c>
      <c r="G15">
        <v>9.5182419999999997E-3</v>
      </c>
      <c r="H15">
        <v>-1.344163E-3</v>
      </c>
      <c r="I15">
        <v>-3.8567620000000001E-3</v>
      </c>
      <c r="J15">
        <v>-2.2851289999999999E-3</v>
      </c>
      <c r="K15">
        <v>-5.5874719999999996E-3</v>
      </c>
      <c r="L15">
        <f t="shared" si="0"/>
        <v>-1.7134529949376942E-3</v>
      </c>
      <c r="M15">
        <f t="shared" si="1"/>
        <v>1.9755655899536934E-3</v>
      </c>
      <c r="N15">
        <f t="shared" si="2"/>
        <v>-1.5373791607779888E-3</v>
      </c>
      <c r="O15">
        <f t="shared" si="3"/>
        <v>1.0461754039929974E-3</v>
      </c>
      <c r="P15">
        <f t="shared" si="4"/>
        <v>-1.6732951445435546E-3</v>
      </c>
      <c r="R15" s="4" t="s">
        <v>3</v>
      </c>
      <c r="S15" s="4" t="s">
        <v>4</v>
      </c>
      <c r="T15" s="4" t="s">
        <v>5</v>
      </c>
      <c r="U15" s="4" t="s">
        <v>6</v>
      </c>
      <c r="V15" s="4" t="s">
        <v>7</v>
      </c>
      <c r="W15" s="4" t="s">
        <v>8</v>
      </c>
      <c r="X15" s="4" t="s">
        <v>9</v>
      </c>
      <c r="Y15" s="7" t="s">
        <v>13</v>
      </c>
    </row>
    <row r="16" spans="1:25" x14ac:dyDescent="0.25">
      <c r="A16" s="2">
        <v>40249</v>
      </c>
      <c r="B16">
        <v>-2.7446839999999998E-3</v>
      </c>
      <c r="C16">
        <v>3.5570049999999998E-3</v>
      </c>
      <c r="D16">
        <v>-2.1736999999999999E-4</v>
      </c>
      <c r="E16">
        <v>2.7758750000000001E-3</v>
      </c>
      <c r="F16">
        <v>1.476488E-3</v>
      </c>
      <c r="G16">
        <v>8.0602929999999996E-3</v>
      </c>
      <c r="H16">
        <v>-7.8146719999999999E-3</v>
      </c>
      <c r="I16">
        <v>1.601952E-3</v>
      </c>
      <c r="J16" s="1">
        <v>2.8170400000000001E-5</v>
      </c>
      <c r="K16">
        <v>3.5570049999999998E-3</v>
      </c>
      <c r="L16">
        <f t="shared" si="0"/>
        <v>4.7513454782453293E-3</v>
      </c>
      <c r="M16">
        <f t="shared" si="1"/>
        <v>2.8113914948949049E-3</v>
      </c>
      <c r="N16">
        <f t="shared" si="2"/>
        <v>3.4393123896589227E-3</v>
      </c>
      <c r="O16">
        <f t="shared" si="3"/>
        <v>4.0883086243612152E-3</v>
      </c>
      <c r="P16">
        <f t="shared" si="4"/>
        <v>4.875950740225809E-3</v>
      </c>
      <c r="R16">
        <f>entrenamiento!R16</f>
        <v>6.5891518131131394E-2</v>
      </c>
      <c r="S16">
        <f>entrenamiento!S16</f>
        <v>0.10530674358003209</v>
      </c>
      <c r="T16">
        <f>entrenamiento!T16</f>
        <v>8.5570525130867742E-2</v>
      </c>
      <c r="U16">
        <f>entrenamiento!U16</f>
        <v>7.8087134031965891E-2</v>
      </c>
      <c r="V16">
        <f>entrenamiento!V16</f>
        <v>6.9676268059382068E-2</v>
      </c>
      <c r="W16">
        <f>entrenamiento!W16</f>
        <v>9.8073802536418328E-2</v>
      </c>
      <c r="X16">
        <f>entrenamiento!X16</f>
        <v>9.8897147961451923E-2</v>
      </c>
      <c r="Y16">
        <f>entrenamiento!Y16</f>
        <v>2.1622486287489E-3</v>
      </c>
    </row>
    <row r="17" spans="1:25" x14ac:dyDescent="0.25">
      <c r="A17" s="2">
        <v>40252</v>
      </c>
      <c r="B17">
        <v>-5.0212980000000004E-3</v>
      </c>
      <c r="C17">
        <v>-6.3373630000000004E-3</v>
      </c>
      <c r="D17">
        <v>4.5207599999999999E-4</v>
      </c>
      <c r="E17">
        <v>-7.0134739999999996E-3</v>
      </c>
      <c r="F17">
        <v>-5.6508909999999999E-3</v>
      </c>
      <c r="G17" s="1">
        <v>6.6966700000000004E-5</v>
      </c>
      <c r="H17">
        <v>-4.5820920000000003E-3</v>
      </c>
      <c r="I17">
        <v>-6.7027839999999998E-3</v>
      </c>
      <c r="J17">
        <v>-7.5400199999999997E-3</v>
      </c>
      <c r="K17">
        <v>-6.3373630000000004E-3</v>
      </c>
      <c r="L17">
        <f t="shared" si="0"/>
        <v>-8.8663011998649007E-3</v>
      </c>
      <c r="M17">
        <f t="shared" si="1"/>
        <v>-7.4716703656970904E-4</v>
      </c>
      <c r="N17">
        <f t="shared" si="2"/>
        <v>-7.9409133290654563E-3</v>
      </c>
      <c r="O17">
        <f t="shared" si="3"/>
        <v>-5.0405524601393106E-3</v>
      </c>
      <c r="P17">
        <f t="shared" si="4"/>
        <v>-8.5459753687782847E-3</v>
      </c>
    </row>
    <row r="18" spans="1:25" x14ac:dyDescent="0.25">
      <c r="A18" s="2">
        <v>40253</v>
      </c>
      <c r="B18">
        <v>2.3990398999999999E-2</v>
      </c>
      <c r="C18">
        <v>2.4778657999999999E-2</v>
      </c>
      <c r="D18">
        <v>7.7490570000000002E-3</v>
      </c>
      <c r="E18">
        <v>1.1357183999999999E-2</v>
      </c>
      <c r="F18">
        <v>4.7261170000000002E-3</v>
      </c>
      <c r="G18">
        <v>-2.819266E-3</v>
      </c>
      <c r="H18">
        <v>1.3212056999999999E-2</v>
      </c>
      <c r="I18">
        <v>8.4224829999999997E-3</v>
      </c>
      <c r="J18">
        <v>6.6789350000000004E-3</v>
      </c>
      <c r="K18">
        <v>2.4778657999999999E-2</v>
      </c>
      <c r="L18">
        <f t="shared" si="0"/>
        <v>1.0801642785830271E-2</v>
      </c>
      <c r="M18">
        <f t="shared" si="1"/>
        <v>6.4602211160250667E-3</v>
      </c>
      <c r="N18">
        <f t="shared" si="2"/>
        <v>9.7699848826767709E-3</v>
      </c>
      <c r="O18">
        <f t="shared" si="3"/>
        <v>8.8093419095157492E-3</v>
      </c>
      <c r="P18">
        <f t="shared" si="4"/>
        <v>9.299044240377731E-3</v>
      </c>
      <c r="R18" t="s">
        <v>25</v>
      </c>
      <c r="T18">
        <f>SUMPRODUCT(K3:K252-M3:M252,K3:K252-M3:M252)</f>
        <v>5.9931721601131992E-2</v>
      </c>
    </row>
    <row r="19" spans="1:25" x14ac:dyDescent="0.25">
      <c r="A19" s="2">
        <v>40254</v>
      </c>
      <c r="B19">
        <v>1.9908239000000001E-2</v>
      </c>
      <c r="C19">
        <v>2.7046713999999999E-2</v>
      </c>
      <c r="D19">
        <v>5.8047949999999997E-3</v>
      </c>
      <c r="E19">
        <v>8.8852270000000007E-3</v>
      </c>
      <c r="F19">
        <v>4.2965E-3</v>
      </c>
      <c r="G19">
        <v>1.1616042E-2</v>
      </c>
      <c r="H19">
        <v>-3.136078E-3</v>
      </c>
      <c r="I19">
        <v>5.9944619999999999E-3</v>
      </c>
      <c r="J19">
        <v>1.1753411E-2</v>
      </c>
      <c r="K19">
        <v>2.7046713999999999E-2</v>
      </c>
      <c r="L19">
        <f t="shared" si="0"/>
        <v>1.8915083353781198E-2</v>
      </c>
      <c r="M19">
        <f t="shared" si="1"/>
        <v>6.286895192713686E-3</v>
      </c>
      <c r="N19">
        <f t="shared" si="2"/>
        <v>1.4829313277375921E-2</v>
      </c>
      <c r="O19">
        <f t="shared" si="3"/>
        <v>1.2146803526370879E-2</v>
      </c>
      <c r="P19">
        <f t="shared" si="4"/>
        <v>1.8374223140927803E-2</v>
      </c>
      <c r="R19" t="s">
        <v>26</v>
      </c>
      <c r="T19">
        <f>(T18/COUNT($K$3:$K$252))^(1/2)</f>
        <v>1.5483116172286765E-2</v>
      </c>
    </row>
    <row r="20" spans="1:25" x14ac:dyDescent="0.25">
      <c r="A20" s="2">
        <v>40255</v>
      </c>
      <c r="B20">
        <v>-1.4267376999999999E-2</v>
      </c>
      <c r="C20">
        <v>-1.8503617E-2</v>
      </c>
      <c r="D20">
        <v>-3.2589499999999998E-4</v>
      </c>
      <c r="E20">
        <v>-1.9889360000000002E-3</v>
      </c>
      <c r="F20">
        <v>-3.5438400000000001E-4</v>
      </c>
      <c r="G20">
        <v>-9.5364490000000007E-3</v>
      </c>
      <c r="H20">
        <v>-3.7297399999999998E-4</v>
      </c>
      <c r="I20">
        <v>-2.9905660000000001E-3</v>
      </c>
      <c r="J20">
        <v>-1.18508E-4</v>
      </c>
      <c r="K20">
        <v>-1.8503617E-2</v>
      </c>
      <c r="L20">
        <f t="shared" si="0"/>
        <v>-2.6165171630837146E-3</v>
      </c>
      <c r="M20">
        <f t="shared" si="1"/>
        <v>8.2532402389855338E-4</v>
      </c>
      <c r="N20">
        <f t="shared" si="2"/>
        <v>-1.5962115126248685E-3</v>
      </c>
      <c r="O20">
        <f t="shared" si="3"/>
        <v>-1.7339902489013363E-3</v>
      </c>
      <c r="P20">
        <f t="shared" si="4"/>
        <v>-1.48655109057647E-3</v>
      </c>
      <c r="R20" t="s">
        <v>24</v>
      </c>
      <c r="T20">
        <f>maxerror(K3:K252,M3:M252)</f>
        <v>7.2754907091035881E-2</v>
      </c>
    </row>
    <row r="21" spans="1:25" x14ac:dyDescent="0.25">
      <c r="A21" s="2">
        <v>40256</v>
      </c>
      <c r="B21">
        <v>-1.82161E-3</v>
      </c>
      <c r="C21">
        <v>-7.7491770000000003E-3</v>
      </c>
      <c r="D21">
        <v>-5.099485E-3</v>
      </c>
      <c r="E21">
        <v>-4.9821939999999997E-3</v>
      </c>
      <c r="F21">
        <v>1.328292E-3</v>
      </c>
      <c r="G21">
        <v>7.4821560000000002E-3</v>
      </c>
      <c r="H21">
        <v>-1.2532107000000001E-2</v>
      </c>
      <c r="I21">
        <v>-1.6283479999999999E-3</v>
      </c>
      <c r="J21">
        <v>-1.747153E-3</v>
      </c>
      <c r="K21">
        <v>-7.7491770000000003E-3</v>
      </c>
      <c r="L21">
        <f t="shared" si="0"/>
        <v>9.8204635975209583E-4</v>
      </c>
      <c r="M21">
        <f t="shared" si="1"/>
        <v>7.9382278112947666E-4</v>
      </c>
      <c r="N21">
        <f t="shared" si="2"/>
        <v>4.1780871132790314E-4</v>
      </c>
      <c r="O21">
        <f t="shared" si="3"/>
        <v>6.6317572635199548E-4</v>
      </c>
      <c r="P21">
        <f t="shared" si="4"/>
        <v>2.2073010907006597E-3</v>
      </c>
    </row>
    <row r="22" spans="1:25" x14ac:dyDescent="0.25">
      <c r="A22" s="2">
        <v>40259</v>
      </c>
      <c r="B22">
        <v>8.4866390000000007E-3</v>
      </c>
      <c r="C22">
        <v>-3.3317299999999998E-4</v>
      </c>
      <c r="D22">
        <v>5.0823300000000004E-3</v>
      </c>
      <c r="E22">
        <v>8.4712299999999997E-4</v>
      </c>
      <c r="F22">
        <v>-9.9162399999999998E-4</v>
      </c>
      <c r="G22">
        <v>-4.6826610000000003E-3</v>
      </c>
      <c r="H22">
        <v>3.0898470000000002E-3</v>
      </c>
      <c r="I22">
        <v>-1.5865339999999999E-3</v>
      </c>
      <c r="J22">
        <v>-5.9585799999999998E-3</v>
      </c>
      <c r="K22">
        <v>-3.3317299999999998E-4</v>
      </c>
      <c r="L22">
        <f t="shared" si="0"/>
        <v>-6.5449457534564777E-3</v>
      </c>
      <c r="M22">
        <f t="shared" si="1"/>
        <v>1.606234486789425E-3</v>
      </c>
      <c r="N22">
        <f t="shared" si="2"/>
        <v>-4.8211082511533917E-3</v>
      </c>
      <c r="O22">
        <f t="shared" si="3"/>
        <v>-1.6377950357284378E-3</v>
      </c>
      <c r="P22">
        <f t="shared" si="4"/>
        <v>-6.1898558222064394E-3</v>
      </c>
      <c r="R22" t="s">
        <v>20</v>
      </c>
    </row>
    <row r="23" spans="1:25" x14ac:dyDescent="0.25">
      <c r="A23" s="2">
        <v>40260</v>
      </c>
      <c r="B23">
        <v>8.4866109999999998E-3</v>
      </c>
      <c r="C23">
        <v>9.1997510000000008E-3</v>
      </c>
      <c r="D23">
        <v>7.1453910000000001E-3</v>
      </c>
      <c r="E23">
        <v>4.959705E-3</v>
      </c>
      <c r="F23">
        <v>5.1422170000000001E-3</v>
      </c>
      <c r="G23">
        <v>0</v>
      </c>
      <c r="H23">
        <v>4.9845150000000001E-3</v>
      </c>
      <c r="I23">
        <v>6.135255E-3</v>
      </c>
      <c r="J23">
        <v>2.0491519999999998E-3</v>
      </c>
      <c r="K23">
        <v>9.1997510000000008E-3</v>
      </c>
      <c r="L23">
        <f t="shared" si="0"/>
        <v>6.8781653035791916E-3</v>
      </c>
      <c r="M23">
        <f t="shared" si="1"/>
        <v>4.7470473602799906E-3</v>
      </c>
      <c r="N23">
        <f t="shared" si="2"/>
        <v>5.7838097475935392E-3</v>
      </c>
      <c r="O23">
        <f t="shared" si="3"/>
        <v>5.8818194850203519E-3</v>
      </c>
      <c r="P23">
        <f t="shared" si="4"/>
        <v>6.3064471233433353E-3</v>
      </c>
      <c r="R23" s="4" t="s">
        <v>3</v>
      </c>
      <c r="S23" s="4" t="s">
        <v>4</v>
      </c>
      <c r="T23" s="4" t="s">
        <v>5</v>
      </c>
      <c r="U23" s="4" t="s">
        <v>6</v>
      </c>
      <c r="V23" s="4" t="s">
        <v>7</v>
      </c>
      <c r="W23" s="4" t="s">
        <v>8</v>
      </c>
      <c r="X23" s="4" t="s">
        <v>9</v>
      </c>
      <c r="Y23" s="7" t="s">
        <v>13</v>
      </c>
    </row>
    <row r="24" spans="1:25" x14ac:dyDescent="0.25">
      <c r="A24" s="2">
        <v>40261</v>
      </c>
      <c r="B24">
        <v>1.4337851E-2</v>
      </c>
      <c r="C24">
        <v>1.5642970999999999E-2</v>
      </c>
      <c r="D24">
        <v>-5.5083850000000002E-3</v>
      </c>
      <c r="E24">
        <v>3.604767E-3</v>
      </c>
      <c r="F24">
        <v>7.5760900000000002E-4</v>
      </c>
      <c r="G24">
        <v>3.7870870000000002E-3</v>
      </c>
      <c r="H24">
        <v>-6.8546910000000004E-3</v>
      </c>
      <c r="I24">
        <v>-1.8460300000000001E-4</v>
      </c>
      <c r="J24">
        <v>-2.8002300000000001E-4</v>
      </c>
      <c r="K24">
        <v>1.5642970999999999E-2</v>
      </c>
      <c r="L24">
        <f t="shared" si="0"/>
        <v>1.0987416236466476E-3</v>
      </c>
      <c r="M24">
        <f t="shared" si="1"/>
        <v>2.0160433411030229E-3</v>
      </c>
      <c r="N24">
        <f t="shared" si="2"/>
        <v>1.700659694387539E-3</v>
      </c>
      <c r="O24">
        <f t="shared" si="3"/>
        <v>2.3556943674866047E-3</v>
      </c>
      <c r="P24">
        <f t="shared" si="4"/>
        <v>1.9914850800711054E-3</v>
      </c>
      <c r="R24">
        <f>entrenamiento!R24</f>
        <v>1.0249545078457789E-2</v>
      </c>
      <c r="S24">
        <f>entrenamiento!S24</f>
        <v>2.2141778325706532E-2</v>
      </c>
      <c r="T24">
        <f>entrenamiento!T24</f>
        <v>3.1549144769849834E-5</v>
      </c>
      <c r="U24">
        <f>entrenamiento!U24</f>
        <v>0.10606091972909736</v>
      </c>
      <c r="V24">
        <f>entrenamiento!V24</f>
        <v>-6.717160737289303E-2</v>
      </c>
      <c r="W24">
        <f>entrenamiento!W24</f>
        <v>0.53407934829046422</v>
      </c>
      <c r="X24">
        <f>entrenamiento!X24</f>
        <v>0.74916239596951573</v>
      </c>
      <c r="Y24">
        <f>entrenamiento!Y24</f>
        <v>1.1235510897191223E-3</v>
      </c>
    </row>
    <row r="25" spans="1:25" x14ac:dyDescent="0.25">
      <c r="A25" s="2">
        <v>40262</v>
      </c>
      <c r="B25">
        <v>3.4020727000000001E-2</v>
      </c>
      <c r="C25">
        <v>3.4281823000000003E-2</v>
      </c>
      <c r="D25">
        <v>-1.705629E-3</v>
      </c>
      <c r="E25">
        <v>1.5437439000000001E-2</v>
      </c>
      <c r="F25">
        <v>8.7151490000000002E-3</v>
      </c>
      <c r="G25">
        <v>1.2770360000000001E-3</v>
      </c>
      <c r="H25">
        <v>-6.8581680000000004E-3</v>
      </c>
      <c r="I25">
        <v>9.9939250000000007E-3</v>
      </c>
      <c r="J25" s="1">
        <v>-3.3214099999999998E-5</v>
      </c>
      <c r="K25">
        <v>3.4281823000000003E-2</v>
      </c>
      <c r="L25">
        <f t="shared" si="0"/>
        <v>8.2065681482236391E-3</v>
      </c>
      <c r="M25">
        <f t="shared" si="1"/>
        <v>5.0200144279825979E-3</v>
      </c>
      <c r="N25">
        <f t="shared" si="2"/>
        <v>7.3569404531569193E-3</v>
      </c>
      <c r="O25">
        <f t="shared" si="3"/>
        <v>8.0148864577572424E-3</v>
      </c>
      <c r="P25">
        <f t="shared" si="4"/>
        <v>8.2972194635728986E-3</v>
      </c>
    </row>
    <row r="26" spans="1:25" x14ac:dyDescent="0.25">
      <c r="A26" s="2">
        <v>40263</v>
      </c>
      <c r="B26">
        <v>-7.6371629999999998E-3</v>
      </c>
      <c r="C26">
        <v>-2.5390999999999999E-3</v>
      </c>
      <c r="D26">
        <v>7.3746300000000005E-4</v>
      </c>
      <c r="E26">
        <v>-2.1056080000000001E-3</v>
      </c>
      <c r="F26">
        <v>-4.3042430000000001E-3</v>
      </c>
      <c r="G26">
        <v>1.5351349E-2</v>
      </c>
      <c r="H26">
        <v>3.5150450000000001E-3</v>
      </c>
      <c r="I26">
        <v>-3.3652830000000002E-3</v>
      </c>
      <c r="J26">
        <v>4.2335819999999996E-3</v>
      </c>
      <c r="K26">
        <v>-2.5390999999999999E-3</v>
      </c>
      <c r="L26">
        <f t="shared" si="0"/>
        <v>3.7921101239947559E-3</v>
      </c>
      <c r="M26">
        <f t="shared" si="1"/>
        <v>3.1530912794825632E-3</v>
      </c>
      <c r="N26">
        <f t="shared" si="2"/>
        <v>3.8507313038036949E-3</v>
      </c>
      <c r="O26">
        <f t="shared" si="3"/>
        <v>4.3588471551272547E-3</v>
      </c>
      <c r="P26">
        <f t="shared" si="4"/>
        <v>3.5668732598591033E-3</v>
      </c>
      <c r="R26" t="s">
        <v>25</v>
      </c>
      <c r="T26">
        <f>SUMPRODUCT(K3:K252-N3:N252,K3:K252-N3:N252)</f>
        <v>3.6381385564113869E-2</v>
      </c>
    </row>
    <row r="27" spans="1:25" x14ac:dyDescent="0.25">
      <c r="A27" s="2">
        <v>40266</v>
      </c>
      <c r="B27">
        <v>1.0158999999999999E-3</v>
      </c>
      <c r="C27">
        <v>2.9870510000000001E-3</v>
      </c>
      <c r="D27">
        <v>5.667142E-3</v>
      </c>
      <c r="E27">
        <v>5.9950170000000001E-3</v>
      </c>
      <c r="F27">
        <v>1.3492560000000001E-3</v>
      </c>
      <c r="G27">
        <v>-9.0070299999999999E-4</v>
      </c>
      <c r="H27">
        <v>1.8121717999999998E-2</v>
      </c>
      <c r="I27">
        <v>1.639787E-3</v>
      </c>
      <c r="J27">
        <v>6.6570040000000002E-3</v>
      </c>
      <c r="K27">
        <v>2.9870510000000001E-3</v>
      </c>
      <c r="L27">
        <f t="shared" si="0"/>
        <v>3.5073962546011118E-3</v>
      </c>
      <c r="M27">
        <f t="shared" si="1"/>
        <v>5.2939367022148028E-3</v>
      </c>
      <c r="N27">
        <f t="shared" si="2"/>
        <v>5.8645787463726421E-3</v>
      </c>
      <c r="O27">
        <f t="shared" si="3"/>
        <v>5.982934547631138E-3</v>
      </c>
      <c r="P27">
        <f t="shared" si="4"/>
        <v>3.7529021523845219E-3</v>
      </c>
      <c r="R27" t="s">
        <v>26</v>
      </c>
      <c r="T27">
        <f>(T26/COUNT($K$3:$K$252))^(1/2)</f>
        <v>1.2063396795946632E-2</v>
      </c>
    </row>
    <row r="28" spans="1:25" x14ac:dyDescent="0.25">
      <c r="A28" s="2">
        <v>40267</v>
      </c>
      <c r="B28">
        <v>1.5201559999999999E-3</v>
      </c>
      <c r="C28">
        <v>2.8998959999999999E-3</v>
      </c>
      <c r="D28" s="1">
        <v>4.2616800000000002E-5</v>
      </c>
      <c r="E28">
        <v>-2.3415979999999999E-3</v>
      </c>
      <c r="F28">
        <v>-6.7469289999999996E-3</v>
      </c>
      <c r="G28">
        <v>1.0022902E-2</v>
      </c>
      <c r="H28">
        <v>3.0021699999999998E-4</v>
      </c>
      <c r="I28">
        <v>-3.988002E-3</v>
      </c>
      <c r="J28">
        <v>3.3224909999999999E-3</v>
      </c>
      <c r="K28">
        <v>2.8998959999999999E-3</v>
      </c>
      <c r="L28">
        <f t="shared" si="0"/>
        <v>3.8886467205297716E-3</v>
      </c>
      <c r="M28">
        <f t="shared" si="1"/>
        <v>2.0821764520905879E-3</v>
      </c>
      <c r="N28">
        <f t="shared" si="2"/>
        <v>2.4739758438781572E-3</v>
      </c>
      <c r="O28">
        <f t="shared" si="3"/>
        <v>2.3095181914317593E-3</v>
      </c>
      <c r="P28">
        <f t="shared" si="4"/>
        <v>2.6868951905715819E-3</v>
      </c>
      <c r="R28" t="s">
        <v>24</v>
      </c>
      <c r="T28">
        <f>maxerror(K3:K252,N3:N252)</f>
        <v>4.5315162747472645E-2</v>
      </c>
    </row>
    <row r="29" spans="1:25" x14ac:dyDescent="0.25">
      <c r="A29" s="2">
        <v>40268</v>
      </c>
      <c r="B29">
        <v>-3.8138400000000002E-3</v>
      </c>
      <c r="C29" s="1">
        <v>9.2072599999999997E-6</v>
      </c>
      <c r="D29">
        <v>-3.278272E-3</v>
      </c>
      <c r="E29">
        <v>1.8054659999999999E-3</v>
      </c>
      <c r="F29">
        <v>1.2861280000000001E-3</v>
      </c>
      <c r="G29">
        <v>-6.4902600000000003E-4</v>
      </c>
      <c r="H29">
        <v>5.8718069999999997E-3</v>
      </c>
      <c r="I29">
        <v>-5.3783100000000001E-4</v>
      </c>
      <c r="J29">
        <v>-1.5373990000000001E-3</v>
      </c>
      <c r="K29">
        <v>9.2072599999999997E-6</v>
      </c>
      <c r="L29">
        <f t="shared" si="0"/>
        <v>-4.226867459565244E-3</v>
      </c>
      <c r="M29">
        <f t="shared" si="1"/>
        <v>2.4000742138740711E-3</v>
      </c>
      <c r="N29">
        <f t="shared" si="2"/>
        <v>-7.7229385997230741E-4</v>
      </c>
      <c r="O29">
        <f t="shared" si="3"/>
        <v>9.6092066875955596E-4</v>
      </c>
      <c r="P29">
        <f t="shared" si="4"/>
        <v>-3.0083685664465385E-3</v>
      </c>
    </row>
    <row r="30" spans="1:25" x14ac:dyDescent="0.25">
      <c r="A30" s="2">
        <v>40269</v>
      </c>
      <c r="B30">
        <v>2.0479928000000001E-2</v>
      </c>
      <c r="C30">
        <v>2.3256492E-2</v>
      </c>
      <c r="D30">
        <v>7.3865210000000001E-3</v>
      </c>
      <c r="E30">
        <v>1.3239239999999999E-2</v>
      </c>
      <c r="F30">
        <v>1.1431696999999999E-2</v>
      </c>
      <c r="G30">
        <v>1.3831836E-2</v>
      </c>
      <c r="H30">
        <v>1.0798080999999999E-2</v>
      </c>
      <c r="I30">
        <v>1.1916154E-2</v>
      </c>
      <c r="J30">
        <v>1.3451579999999999E-2</v>
      </c>
      <c r="K30">
        <v>2.3256492E-2</v>
      </c>
      <c r="L30">
        <f t="shared" si="0"/>
        <v>1.9714421673896223E-2</v>
      </c>
      <c r="M30">
        <f t="shared" si="1"/>
        <v>9.3527991283358022E-3</v>
      </c>
      <c r="N30">
        <f t="shared" si="2"/>
        <v>1.8676043002439812E-2</v>
      </c>
      <c r="O30">
        <f t="shared" si="3"/>
        <v>1.675099886485569E-2</v>
      </c>
      <c r="P30">
        <f t="shared" si="4"/>
        <v>1.992870796000001E-2</v>
      </c>
      <c r="R30" t="s">
        <v>21</v>
      </c>
    </row>
    <row r="31" spans="1:25" x14ac:dyDescent="0.25">
      <c r="A31" s="2">
        <v>40270</v>
      </c>
      <c r="B31">
        <v>6.0750960000000003E-3</v>
      </c>
      <c r="C31">
        <v>6.6703969999999998E-3</v>
      </c>
      <c r="D31">
        <v>7.8967580000000002E-3</v>
      </c>
      <c r="E31">
        <v>0</v>
      </c>
      <c r="F31">
        <v>6.16038E-3</v>
      </c>
      <c r="G31">
        <v>3.7007670000000002E-3</v>
      </c>
      <c r="H31">
        <v>2.162527E-3</v>
      </c>
      <c r="I31">
        <v>0</v>
      </c>
      <c r="J31">
        <v>1.2291909999999999E-3</v>
      </c>
      <c r="K31">
        <v>6.6703969999999998E-3</v>
      </c>
      <c r="L31">
        <f t="shared" si="0"/>
        <v>2.4593770210673874E-4</v>
      </c>
      <c r="M31">
        <f t="shared" si="1"/>
        <v>3.7709475371763643E-3</v>
      </c>
      <c r="N31">
        <f t="shared" si="2"/>
        <v>2.3727936333442288E-3</v>
      </c>
      <c r="O31">
        <f t="shared" si="3"/>
        <v>4.1111665715038125E-3</v>
      </c>
      <c r="P31">
        <f t="shared" si="4"/>
        <v>3.1494106720464975E-3</v>
      </c>
      <c r="R31" s="4" t="s">
        <v>3</v>
      </c>
      <c r="S31" s="4" t="s">
        <v>4</v>
      </c>
      <c r="T31" s="4" t="s">
        <v>5</v>
      </c>
      <c r="U31" s="4" t="s">
        <v>6</v>
      </c>
      <c r="V31" s="4" t="s">
        <v>7</v>
      </c>
      <c r="W31" s="4" t="s">
        <v>8</v>
      </c>
      <c r="X31" s="4" t="s">
        <v>9</v>
      </c>
      <c r="Y31" s="7" t="s">
        <v>13</v>
      </c>
    </row>
    <row r="32" spans="1:25" x14ac:dyDescent="0.25">
      <c r="A32" s="2">
        <v>40273</v>
      </c>
      <c r="B32">
        <v>1.0027431999999999E-2</v>
      </c>
      <c r="C32">
        <v>1.1553941E-2</v>
      </c>
      <c r="D32">
        <v>0</v>
      </c>
      <c r="E32">
        <v>0</v>
      </c>
      <c r="F32">
        <v>0</v>
      </c>
      <c r="G32">
        <v>4.7035740000000003E-3</v>
      </c>
      <c r="H32">
        <v>0</v>
      </c>
      <c r="I32">
        <v>0</v>
      </c>
      <c r="J32">
        <v>4.4522190000000003E-3</v>
      </c>
      <c r="K32">
        <v>1.1553941E-2</v>
      </c>
      <c r="L32">
        <f t="shared" si="0"/>
        <v>5.7904274449934491E-3</v>
      </c>
      <c r="M32">
        <f t="shared" si="1"/>
        <v>2.9698490033159574E-3</v>
      </c>
      <c r="N32">
        <f t="shared" si="2"/>
        <v>4.9578515275939929E-3</v>
      </c>
      <c r="O32">
        <f t="shared" si="3"/>
        <v>3.9893804570903246E-3</v>
      </c>
      <c r="P32">
        <f t="shared" si="4"/>
        <v>5.803081506505027E-3</v>
      </c>
      <c r="R32">
        <f>entrenamiento!R32</f>
        <v>7.3145417330498549E-2</v>
      </c>
      <c r="S32">
        <f>entrenamiento!S32</f>
        <v>0.18846614464424116</v>
      </c>
      <c r="T32">
        <f>entrenamiento!T32</f>
        <v>0.14397958489465873</v>
      </c>
      <c r="U32">
        <f>entrenamiento!U32</f>
        <v>0.20406911803625244</v>
      </c>
      <c r="V32">
        <f>entrenamiento!V32</f>
        <v>1.1670797625911852E-2</v>
      </c>
      <c r="W32">
        <f>entrenamiento!W32</f>
        <v>0.23858384530377183</v>
      </c>
      <c r="X32">
        <f>entrenamiento!X32</f>
        <v>0.36096210618549168</v>
      </c>
      <c r="Y32">
        <f>entrenamiento!Y32</f>
        <v>1.4224439118530128E-3</v>
      </c>
    </row>
    <row r="33" spans="1:25" x14ac:dyDescent="0.25">
      <c r="A33" s="2">
        <v>40274</v>
      </c>
      <c r="B33">
        <v>-4.077191E-3</v>
      </c>
      <c r="C33">
        <v>-1.3568009999999999E-3</v>
      </c>
      <c r="D33">
        <v>1.682879E-3</v>
      </c>
      <c r="E33">
        <v>2.6666110000000002E-3</v>
      </c>
      <c r="F33">
        <v>0</v>
      </c>
      <c r="G33">
        <v>-5.0376689999999998E-3</v>
      </c>
      <c r="H33">
        <v>-2.7249890000000001E-3</v>
      </c>
      <c r="I33">
        <v>5.2501689999999998E-3</v>
      </c>
      <c r="J33">
        <v>2.9491780000000002E-3</v>
      </c>
      <c r="K33">
        <v>-1.3568009999999999E-3</v>
      </c>
      <c r="L33">
        <f t="shared" si="0"/>
        <v>1.0617913791458974E-2</v>
      </c>
      <c r="M33">
        <f t="shared" si="1"/>
        <v>2.7772733340795299E-3</v>
      </c>
      <c r="N33">
        <f t="shared" si="2"/>
        <v>5.8620055218621759E-3</v>
      </c>
      <c r="O33">
        <f t="shared" si="3"/>
        <v>3.3054162390308383E-3</v>
      </c>
      <c r="P33">
        <f t="shared" si="4"/>
        <v>7.7511212865627437E-3</v>
      </c>
    </row>
    <row r="34" spans="1:25" x14ac:dyDescent="0.25">
      <c r="A34" s="2">
        <v>40275</v>
      </c>
      <c r="B34">
        <v>4.0879330000000002E-3</v>
      </c>
      <c r="C34">
        <v>1.1301841E-2</v>
      </c>
      <c r="D34">
        <v>-5.894051E-3</v>
      </c>
      <c r="E34">
        <v>-4.7777100000000001E-3</v>
      </c>
      <c r="F34">
        <v>-3.1708930000000001E-3</v>
      </c>
      <c r="G34">
        <v>9.31112E-4</v>
      </c>
      <c r="H34">
        <v>-4.2709510000000003E-3</v>
      </c>
      <c r="I34">
        <v>-3.9531490000000004E-3</v>
      </c>
      <c r="J34">
        <v>3.1247760000000001E-3</v>
      </c>
      <c r="K34">
        <v>1.1301841E-2</v>
      </c>
      <c r="L34">
        <f t="shared" si="0"/>
        <v>2.1144998645632523E-3</v>
      </c>
      <c r="M34">
        <f t="shared" si="1"/>
        <v>6.9587562019667905E-4</v>
      </c>
      <c r="N34">
        <f t="shared" si="2"/>
        <v>1.572563385797678E-3</v>
      </c>
      <c r="O34">
        <f t="shared" si="3"/>
        <v>-4.0725313441945278E-5</v>
      </c>
      <c r="P34">
        <f t="shared" si="4"/>
        <v>2.3712284875038038E-3</v>
      </c>
      <c r="R34" t="s">
        <v>25</v>
      </c>
      <c r="T34">
        <f>SUMPRODUCT(K3:K252-O3:O252,K3:K252-O3:O252)</f>
        <v>4.1150545190894956E-2</v>
      </c>
    </row>
    <row r="35" spans="1:25" x14ac:dyDescent="0.25">
      <c r="A35" s="2">
        <v>40276</v>
      </c>
      <c r="B35">
        <v>-3.9905169999999998E-3</v>
      </c>
      <c r="C35">
        <v>-6.8009860000000002E-3</v>
      </c>
      <c r="D35">
        <v>3.3686699999999998E-3</v>
      </c>
      <c r="E35">
        <v>-8.1619009999999992E-3</v>
      </c>
      <c r="F35">
        <v>-8.6102250000000009E-3</v>
      </c>
      <c r="G35">
        <v>-1.1097556999999999E-2</v>
      </c>
      <c r="H35">
        <v>1.3915415E-2</v>
      </c>
      <c r="I35">
        <v>-9.3572129999999996E-3</v>
      </c>
      <c r="J35">
        <v>-3.6274599999999999E-3</v>
      </c>
      <c r="K35">
        <v>-6.8009860000000002E-3</v>
      </c>
      <c r="L35">
        <f t="shared" si="0"/>
        <v>-1.2330448473106494E-2</v>
      </c>
      <c r="M35">
        <f t="shared" si="1"/>
        <v>-3.8551442493212464E-4</v>
      </c>
      <c r="N35">
        <f t="shared" si="2"/>
        <v>-8.8497009638704056E-3</v>
      </c>
      <c r="O35">
        <f t="shared" si="3"/>
        <v>-6.7532120885073739E-3</v>
      </c>
      <c r="P35">
        <f t="shared" si="4"/>
        <v>-1.2197665558847791E-2</v>
      </c>
      <c r="R35" t="s">
        <v>23</v>
      </c>
      <c r="T35">
        <f>(T34/COUNT($K$3:$K$252))^(1/2)</f>
        <v>1.2829738140881123E-2</v>
      </c>
    </row>
    <row r="36" spans="1:25" x14ac:dyDescent="0.25">
      <c r="A36" s="2">
        <v>40277</v>
      </c>
      <c r="B36">
        <v>1.3150996E-2</v>
      </c>
      <c r="C36">
        <v>2.3087673E-2</v>
      </c>
      <c r="D36">
        <v>6.6616230000000002E-3</v>
      </c>
      <c r="E36">
        <v>1.2538072000000001E-2</v>
      </c>
      <c r="F36">
        <v>1.0153608999999999E-2</v>
      </c>
      <c r="G36">
        <v>3.2307490000000002E-3</v>
      </c>
      <c r="H36">
        <v>-5.1396039999999999E-3</v>
      </c>
      <c r="I36">
        <v>1.3490297E-2</v>
      </c>
      <c r="J36">
        <v>3.9424229999999996E-3</v>
      </c>
      <c r="K36">
        <v>2.3087673E-2</v>
      </c>
      <c r="L36">
        <f t="shared" si="0"/>
        <v>1.698908376000538E-2</v>
      </c>
      <c r="M36">
        <f t="shared" si="1"/>
        <v>6.3974968876884825E-3</v>
      </c>
      <c r="N36">
        <f t="shared" si="2"/>
        <v>1.2316061006393483E-2</v>
      </c>
      <c r="O36">
        <f t="shared" si="3"/>
        <v>1.097557066937028E-2</v>
      </c>
      <c r="P36">
        <f t="shared" si="4"/>
        <v>1.5417442218242809E-2</v>
      </c>
      <c r="R36" t="s">
        <v>24</v>
      </c>
      <c r="T36">
        <f>maxerror(K3:K252,O3:O252)</f>
        <v>5.0226214786708585E-2</v>
      </c>
    </row>
    <row r="37" spans="1:25" x14ac:dyDescent="0.25">
      <c r="A37" s="2">
        <v>40280</v>
      </c>
      <c r="B37">
        <v>-6.1633859999999999E-3</v>
      </c>
      <c r="C37">
        <v>-3.594491E-3</v>
      </c>
      <c r="D37">
        <v>1.7650630000000001E-3</v>
      </c>
      <c r="E37">
        <v>1.58395E-4</v>
      </c>
      <c r="F37">
        <v>1.1429960000000001E-3</v>
      </c>
      <c r="G37">
        <v>4.2357999999999996E-3</v>
      </c>
      <c r="H37">
        <v>-1.1307510999999999E-2</v>
      </c>
      <c r="I37">
        <v>2.3031919999999999E-3</v>
      </c>
      <c r="J37">
        <v>-5.179159E-3</v>
      </c>
      <c r="K37">
        <v>-3.594491E-3</v>
      </c>
      <c r="L37">
        <f t="shared" si="0"/>
        <v>2.2034159708791781E-3</v>
      </c>
      <c r="M37">
        <f t="shared" si="1"/>
        <v>1.6496131972925925E-3</v>
      </c>
      <c r="N37">
        <f t="shared" si="2"/>
        <v>-2.9596196012597479E-4</v>
      </c>
      <c r="O37">
        <f t="shared" si="3"/>
        <v>1.1584229267673403E-3</v>
      </c>
      <c r="P37">
        <f t="shared" si="4"/>
        <v>1.459888695319871E-3</v>
      </c>
    </row>
    <row r="38" spans="1:25" x14ac:dyDescent="0.25">
      <c r="A38" s="2">
        <v>40281</v>
      </c>
      <c r="B38">
        <v>-1.2767819999999999E-2</v>
      </c>
      <c r="C38">
        <v>-1.6214159999999998E-2</v>
      </c>
      <c r="D38">
        <v>6.8510900000000004E-4</v>
      </c>
      <c r="E38">
        <v>-3.1823070000000001E-3</v>
      </c>
      <c r="F38">
        <v>-2.755801E-3</v>
      </c>
      <c r="G38">
        <v>-8.090837E-3</v>
      </c>
      <c r="H38">
        <v>2.5175750000000002E-3</v>
      </c>
      <c r="I38">
        <v>-3.3374120000000001E-3</v>
      </c>
      <c r="J38">
        <v>-3.7993749999999998E-3</v>
      </c>
      <c r="K38">
        <v>-1.6214159999999998E-2</v>
      </c>
      <c r="L38">
        <f t="shared" si="0"/>
        <v>-5.8394493360353159E-3</v>
      </c>
      <c r="M38">
        <f t="shared" si="1"/>
        <v>4.7702269517918496E-4</v>
      </c>
      <c r="N38">
        <f t="shared" si="2"/>
        <v>-4.5959986111782465E-3</v>
      </c>
      <c r="O38">
        <f t="shared" si="3"/>
        <v>-3.3133705727652505E-3</v>
      </c>
      <c r="P38">
        <f t="shared" si="4"/>
        <v>-5.72663383021778E-3</v>
      </c>
      <c r="R38" t="s">
        <v>31</v>
      </c>
    </row>
    <row r="39" spans="1:25" x14ac:dyDescent="0.25">
      <c r="A39" s="2">
        <v>40282</v>
      </c>
      <c r="B39">
        <v>2.1378817000000001E-2</v>
      </c>
      <c r="C39">
        <v>2.8145888000000001E-2</v>
      </c>
      <c r="D39">
        <v>1.1088384E-2</v>
      </c>
      <c r="E39">
        <v>7.6056209999999999E-3</v>
      </c>
      <c r="F39">
        <v>5.9872129999999999E-3</v>
      </c>
      <c r="G39">
        <v>3.9050170000000002E-3</v>
      </c>
      <c r="H39">
        <v>3.4267130000000001E-3</v>
      </c>
      <c r="I39">
        <v>6.1868000000000001E-3</v>
      </c>
      <c r="J39">
        <v>7.5073309999999999E-3</v>
      </c>
      <c r="K39">
        <v>2.8145888000000001E-2</v>
      </c>
      <c r="L39">
        <f t="shared" si="0"/>
        <v>1.280904468759248E-2</v>
      </c>
      <c r="M39">
        <f t="shared" si="1"/>
        <v>6.0990400106856954E-3</v>
      </c>
      <c r="N39">
        <f t="shared" si="2"/>
        <v>1.0518236912697251E-2</v>
      </c>
      <c r="O39">
        <f t="shared" si="3"/>
        <v>9.55176528973368E-3</v>
      </c>
      <c r="P39">
        <f t="shared" si="4"/>
        <v>1.2751042909211798E-2</v>
      </c>
      <c r="R39" s="4" t="s">
        <v>3</v>
      </c>
      <c r="S39" s="4" t="s">
        <v>4</v>
      </c>
      <c r="T39" s="4" t="s">
        <v>5</v>
      </c>
      <c r="U39" s="4" t="s">
        <v>6</v>
      </c>
      <c r="V39" s="4" t="s">
        <v>7</v>
      </c>
      <c r="W39" s="4" t="s">
        <v>8</v>
      </c>
      <c r="X39" s="4" t="s">
        <v>9</v>
      </c>
      <c r="Y39" s="7" t="s">
        <v>13</v>
      </c>
    </row>
    <row r="40" spans="1:25" x14ac:dyDescent="0.25">
      <c r="A40" s="2">
        <v>40283</v>
      </c>
      <c r="B40">
        <v>-4.6500739999999997E-3</v>
      </c>
      <c r="C40">
        <v>-3.2906010000000002E-3</v>
      </c>
      <c r="D40">
        <v>8.4216800000000002E-4</v>
      </c>
      <c r="E40">
        <v>2.0763980000000001E-3</v>
      </c>
      <c r="F40">
        <v>4.9392159999999997E-3</v>
      </c>
      <c r="G40">
        <v>6.1293800000000002E-3</v>
      </c>
      <c r="H40">
        <v>-7.2196359999999998E-3</v>
      </c>
      <c r="I40">
        <v>3.594524E-3</v>
      </c>
      <c r="J40" s="1">
        <v>5.08239E-6</v>
      </c>
      <c r="K40">
        <v>-3.2906010000000002E-3</v>
      </c>
      <c r="L40">
        <f t="shared" si="0"/>
        <v>5.3783447086961419E-3</v>
      </c>
      <c r="M40">
        <f t="shared" si="1"/>
        <v>3.1876700706311646E-3</v>
      </c>
      <c r="N40">
        <f t="shared" si="2"/>
        <v>4.236924706611753E-3</v>
      </c>
      <c r="O40">
        <f t="shared" si="3"/>
        <v>4.6125098050433227E-3</v>
      </c>
      <c r="P40">
        <f t="shared" si="4"/>
        <v>5.9936083614205368E-3</v>
      </c>
      <c r="R40">
        <f>entrenamiento!R40</f>
        <v>0.1448605111931997</v>
      </c>
      <c r="S40">
        <f>entrenamiento!S40</f>
        <v>-6.4914864400328329E-2</v>
      </c>
      <c r="T40">
        <f>entrenamiento!T40</f>
        <v>0</v>
      </c>
      <c r="U40">
        <f>entrenamiento!U40</f>
        <v>8.2843047983264709E-2</v>
      </c>
      <c r="V40">
        <f>entrenamiento!V40</f>
        <v>-0.28593881206830318</v>
      </c>
      <c r="W40">
        <f>entrenamiento!W40</f>
        <v>0.63789506601462898</v>
      </c>
      <c r="X40">
        <f>entrenamiento!X40</f>
        <v>0.960641125439473</v>
      </c>
      <c r="Y40">
        <f>entrenamiento!Y40</f>
        <v>1.1364384290671859E-3</v>
      </c>
    </row>
    <row r="41" spans="1:25" x14ac:dyDescent="0.25">
      <c r="A41" s="2">
        <v>40284</v>
      </c>
      <c r="B41">
        <v>-1.4181169E-2</v>
      </c>
      <c r="C41">
        <v>-1.1798022999999999E-2</v>
      </c>
      <c r="D41">
        <v>-1.625795E-2</v>
      </c>
      <c r="E41">
        <v>-1.7727677000000001E-2</v>
      </c>
      <c r="F41">
        <v>-1.4003168E-2</v>
      </c>
      <c r="G41">
        <v>-1.5339077E-2</v>
      </c>
      <c r="H41">
        <v>-1.5763662000000001E-2</v>
      </c>
      <c r="I41">
        <v>-1.5112855999999999E-2</v>
      </c>
      <c r="J41">
        <v>-1.2591087000000001E-2</v>
      </c>
      <c r="K41">
        <v>-1.1798022999999999E-2</v>
      </c>
      <c r="L41">
        <f t="shared" si="0"/>
        <v>-1.8542507327676427E-2</v>
      </c>
      <c r="M41">
        <f t="shared" si="1"/>
        <v>-6.9976503036905009E-3</v>
      </c>
      <c r="N41">
        <f t="shared" si="2"/>
        <v>-1.750828887188809E-2</v>
      </c>
      <c r="O41">
        <f t="shared" si="3"/>
        <v>-1.6588782883986311E-2</v>
      </c>
      <c r="P41">
        <f t="shared" si="4"/>
        <v>-1.8567132138078115E-2</v>
      </c>
    </row>
    <row r="42" spans="1:25" x14ac:dyDescent="0.25">
      <c r="A42" s="2">
        <v>40287</v>
      </c>
      <c r="B42">
        <v>-1.2115839999999999E-3</v>
      </c>
      <c r="C42">
        <v>-1.4212047E-2</v>
      </c>
      <c r="D42">
        <v>4.511129E-3</v>
      </c>
      <c r="E42">
        <v>-2.9910890000000002E-3</v>
      </c>
      <c r="F42">
        <v>-2.80686E-3</v>
      </c>
      <c r="G42">
        <v>-1.7574433E-2</v>
      </c>
      <c r="H42">
        <v>-4.6636289999999999E-3</v>
      </c>
      <c r="I42">
        <v>-5.2253070000000002E-3</v>
      </c>
      <c r="J42">
        <v>-1.5519306E-2</v>
      </c>
      <c r="K42">
        <v>-1.4212047E-2</v>
      </c>
      <c r="L42">
        <f t="shared" si="0"/>
        <v>-1.7335414576233776E-2</v>
      </c>
      <c r="M42">
        <f t="shared" si="1"/>
        <v>-1.8402347576641346E-3</v>
      </c>
      <c r="N42">
        <f t="shared" si="2"/>
        <v>-1.4864434569361831E-2</v>
      </c>
      <c r="O42">
        <f t="shared" si="3"/>
        <v>-9.7048197543938911E-3</v>
      </c>
      <c r="P42">
        <f t="shared" si="4"/>
        <v>-1.6379999176791685E-2</v>
      </c>
      <c r="R42" t="s">
        <v>25</v>
      </c>
      <c r="T42">
        <f>SUMPRODUCT(K3:K252-P3:P252,K3:K252-P3:P252)</f>
        <v>3.544004765856764E-2</v>
      </c>
    </row>
    <row r="43" spans="1:25" x14ac:dyDescent="0.25">
      <c r="A43" s="2">
        <v>40288</v>
      </c>
      <c r="B43">
        <v>1.2526916000000001E-2</v>
      </c>
      <c r="C43">
        <v>1.6708117000000001E-2</v>
      </c>
      <c r="D43">
        <v>8.0260260000000003E-3</v>
      </c>
      <c r="E43">
        <v>1.6382872999999999E-2</v>
      </c>
      <c r="F43">
        <v>9.694645E-3</v>
      </c>
      <c r="G43">
        <v>-7.4187999999999999E-4</v>
      </c>
      <c r="H43">
        <v>3.178826E-3</v>
      </c>
      <c r="I43">
        <v>1.2064507E-2</v>
      </c>
      <c r="J43">
        <v>8.9429999999999996E-3</v>
      </c>
      <c r="K43">
        <v>1.6708117000000001E-2</v>
      </c>
      <c r="L43">
        <f t="shared" si="0"/>
        <v>1.7290700104500768E-2</v>
      </c>
      <c r="M43">
        <f t="shared" si="1"/>
        <v>7.4771052571024049E-3</v>
      </c>
      <c r="N43">
        <f t="shared" si="2"/>
        <v>1.4419818021123552E-2</v>
      </c>
      <c r="O43">
        <f t="shared" si="3"/>
        <v>1.2485144033452132E-2</v>
      </c>
      <c r="P43">
        <f t="shared" si="4"/>
        <v>1.6552094422348795E-2</v>
      </c>
      <c r="R43" t="s">
        <v>23</v>
      </c>
      <c r="T43">
        <f>(T42/COUNT($K$3:$K$252))^(1/2)</f>
        <v>1.1906308858511549E-2</v>
      </c>
    </row>
    <row r="44" spans="1:25" x14ac:dyDescent="0.25">
      <c r="A44" s="2">
        <v>40289</v>
      </c>
      <c r="B44">
        <v>-7.4186699999999996E-3</v>
      </c>
      <c r="C44">
        <v>-3.765961E-3</v>
      </c>
      <c r="D44">
        <v>-1.0194309999999999E-3</v>
      </c>
      <c r="E44">
        <v>-5.4183499999999997E-3</v>
      </c>
      <c r="F44">
        <v>-1.0480582E-2</v>
      </c>
      <c r="G44">
        <v>1.7223136999999999E-2</v>
      </c>
      <c r="H44">
        <v>9.8050500000000001E-4</v>
      </c>
      <c r="I44">
        <v>-8.8971199999999997E-3</v>
      </c>
      <c r="J44">
        <v>2.5156979999999998E-3</v>
      </c>
      <c r="K44">
        <v>-3.765961E-3</v>
      </c>
      <c r="L44">
        <f t="shared" si="0"/>
        <v>-3.3778961144660452E-4</v>
      </c>
      <c r="M44">
        <f t="shared" si="1"/>
        <v>1.4171033769279614E-3</v>
      </c>
      <c r="N44">
        <f t="shared" si="2"/>
        <v>-1.1346222835288515E-4</v>
      </c>
      <c r="O44">
        <f t="shared" si="3"/>
        <v>1.1292280249820853E-3</v>
      </c>
      <c r="P44">
        <f t="shared" si="4"/>
        <v>-7.7179867296342389E-4</v>
      </c>
      <c r="R44" t="s">
        <v>24</v>
      </c>
      <c r="T44">
        <f>maxerror(K3:K252,P3:P252)</f>
        <v>4.2126815047792393E-2</v>
      </c>
    </row>
    <row r="45" spans="1:25" x14ac:dyDescent="0.25">
      <c r="A45" s="2">
        <v>40290</v>
      </c>
      <c r="B45">
        <v>-1.926377E-3</v>
      </c>
      <c r="C45">
        <v>-1.1803199999999999E-3</v>
      </c>
      <c r="D45">
        <v>2.2612359999999998E-3</v>
      </c>
      <c r="E45">
        <v>-9.9459649999999993E-3</v>
      </c>
      <c r="F45">
        <v>-1.0203185E-2</v>
      </c>
      <c r="G45">
        <v>-1.2791962E-2</v>
      </c>
      <c r="H45">
        <v>0</v>
      </c>
      <c r="I45">
        <v>-1.2900104000000001E-2</v>
      </c>
      <c r="J45">
        <v>-3.1796459999999999E-3</v>
      </c>
      <c r="K45">
        <v>-1.1803199999999999E-3</v>
      </c>
      <c r="L45">
        <f t="shared" si="0"/>
        <v>-1.1220264340305271E-2</v>
      </c>
      <c r="M45">
        <f t="shared" si="1"/>
        <v>-2.1877320072748127E-3</v>
      </c>
      <c r="N45">
        <f t="shared" si="2"/>
        <v>-9.7022931317455215E-3</v>
      </c>
      <c r="O45">
        <f t="shared" si="3"/>
        <v>-8.5916175939803052E-3</v>
      </c>
      <c r="P45">
        <f t="shared" si="4"/>
        <v>-1.0233493325119733E-2</v>
      </c>
    </row>
    <row r="46" spans="1:25" x14ac:dyDescent="0.25">
      <c r="A46" s="2">
        <v>40294</v>
      </c>
      <c r="B46">
        <v>1.2008849E-2</v>
      </c>
      <c r="C46">
        <v>1.5475997E-2</v>
      </c>
      <c r="D46">
        <v>2.792559E-3</v>
      </c>
      <c r="E46">
        <v>2.6140574E-2</v>
      </c>
      <c r="F46">
        <v>1.5518036000000001E-2</v>
      </c>
      <c r="G46">
        <v>1.9598292E-2</v>
      </c>
      <c r="H46">
        <v>-7.4354089999999996E-3</v>
      </c>
      <c r="I46">
        <v>1.5972171E-2</v>
      </c>
      <c r="J46">
        <v>8.7683589999999999E-3</v>
      </c>
      <c r="K46">
        <v>1.5475997E-2</v>
      </c>
      <c r="L46">
        <f t="shared" si="0"/>
        <v>2.1034748493724088E-2</v>
      </c>
      <c r="M46">
        <f t="shared" si="1"/>
        <v>9.8728399392227165E-3</v>
      </c>
      <c r="N46">
        <f t="shared" si="2"/>
        <v>1.9408854688921916E-2</v>
      </c>
      <c r="O46">
        <f t="shared" si="3"/>
        <v>1.967597670476787E-2</v>
      </c>
      <c r="P46">
        <f t="shared" si="4"/>
        <v>2.2205527730494883E-2</v>
      </c>
    </row>
    <row r="47" spans="1:25" x14ac:dyDescent="0.25">
      <c r="A47" s="2">
        <v>40295</v>
      </c>
      <c r="B47">
        <v>-1.4084423E-2</v>
      </c>
      <c r="C47">
        <v>-1.7618884000000001E-2</v>
      </c>
      <c r="D47">
        <v>-2.3659566999999999E-2</v>
      </c>
      <c r="E47">
        <v>-2.7634705999999998E-2</v>
      </c>
      <c r="F47">
        <v>-2.6486483000000002E-2</v>
      </c>
      <c r="G47">
        <v>4.1888569999999998E-3</v>
      </c>
      <c r="H47">
        <v>-3.4882362E-2</v>
      </c>
      <c r="I47">
        <v>-2.9021541000000001E-2</v>
      </c>
      <c r="J47">
        <v>-1.1889142E-2</v>
      </c>
      <c r="K47">
        <v>-1.7618884000000001E-2</v>
      </c>
      <c r="L47">
        <f t="shared" si="0"/>
        <v>-2.1038884846986922E-2</v>
      </c>
      <c r="M47">
        <f t="shared" si="1"/>
        <v>-1.0698731401139637E-2</v>
      </c>
      <c r="N47">
        <f t="shared" si="2"/>
        <v>-2.1350991328888853E-2</v>
      </c>
      <c r="O47">
        <f t="shared" si="3"/>
        <v>-2.0097753535602669E-2</v>
      </c>
      <c r="P47">
        <f t="shared" si="4"/>
        <v>-2.0109653077998047E-2</v>
      </c>
    </row>
    <row r="48" spans="1:25" x14ac:dyDescent="0.25">
      <c r="A48" s="2">
        <v>40296</v>
      </c>
      <c r="B48">
        <v>-4.8955550000000002E-3</v>
      </c>
      <c r="C48">
        <v>-2.0578676000000001E-2</v>
      </c>
      <c r="D48">
        <v>6.4419380000000004E-3</v>
      </c>
      <c r="E48">
        <v>-1.2278972000000001E-2</v>
      </c>
      <c r="F48">
        <v>-3.0205290000000001E-3</v>
      </c>
      <c r="G48">
        <v>-2.6008977999999999E-2</v>
      </c>
      <c r="H48">
        <v>2.1777179999999999E-3</v>
      </c>
      <c r="I48">
        <v>-1.1822851000000001E-2</v>
      </c>
      <c r="J48">
        <v>-9.7229410000000006E-3</v>
      </c>
      <c r="K48">
        <v>-2.0578676000000001E-2</v>
      </c>
      <c r="L48">
        <f t="shared" si="0"/>
        <v>-2.0290850633099822E-2</v>
      </c>
      <c r="M48">
        <f t="shared" si="1"/>
        <v>-2.9651234823415587E-3</v>
      </c>
      <c r="N48">
        <f t="shared" si="2"/>
        <v>-1.5585614826359753E-2</v>
      </c>
      <c r="O48">
        <f t="shared" si="3"/>
        <v>-1.2467990880467458E-2</v>
      </c>
      <c r="P48">
        <f t="shared" si="4"/>
        <v>-1.6792643751159641E-2</v>
      </c>
    </row>
    <row r="49" spans="1:16" x14ac:dyDescent="0.25">
      <c r="A49" s="2">
        <v>40297</v>
      </c>
      <c r="B49">
        <v>1.3199043000000001E-2</v>
      </c>
      <c r="C49">
        <v>2.5293045E-2</v>
      </c>
      <c r="D49">
        <v>1.2860144E-2</v>
      </c>
      <c r="E49">
        <v>9.9058400000000008E-3</v>
      </c>
      <c r="F49">
        <v>5.5692550000000004E-3</v>
      </c>
      <c r="G49">
        <v>1.2065368E-2</v>
      </c>
      <c r="H49">
        <v>1.9639058000000001E-2</v>
      </c>
      <c r="I49">
        <v>1.2360258000000001E-2</v>
      </c>
      <c r="J49">
        <v>2.9710639999999998E-3</v>
      </c>
      <c r="K49">
        <v>2.5293045E-2</v>
      </c>
      <c r="L49">
        <f t="shared" si="0"/>
        <v>1.1618272250237071E-2</v>
      </c>
      <c r="M49">
        <f t="shared" si="1"/>
        <v>8.345912404261269E-3</v>
      </c>
      <c r="N49">
        <f t="shared" si="2"/>
        <v>1.026251522996607E-2</v>
      </c>
      <c r="O49">
        <f t="shared" si="3"/>
        <v>1.1744650888661501E-2</v>
      </c>
      <c r="P49">
        <f t="shared" si="4"/>
        <v>8.4789660056337861E-3</v>
      </c>
    </row>
    <row r="50" spans="1:16" x14ac:dyDescent="0.25">
      <c r="A50" s="2">
        <v>40298</v>
      </c>
      <c r="B50">
        <v>4.3562169999999999E-3</v>
      </c>
      <c r="C50">
        <v>8.7574430000000002E-3</v>
      </c>
      <c r="D50">
        <v>-1.6787736000000001E-2</v>
      </c>
      <c r="E50">
        <v>-1.499926E-3</v>
      </c>
      <c r="F50">
        <v>-1.1547783000000001E-2</v>
      </c>
      <c r="G50">
        <v>0</v>
      </c>
      <c r="H50">
        <v>-6.6121799999999996E-3</v>
      </c>
      <c r="I50">
        <v>-6.068731E-3</v>
      </c>
      <c r="J50">
        <v>4.164699E-3</v>
      </c>
      <c r="K50">
        <v>8.7574430000000002E-3</v>
      </c>
      <c r="L50">
        <f t="shared" si="0"/>
        <v>3.0315769665661837E-3</v>
      </c>
      <c r="M50">
        <f t="shared" si="1"/>
        <v>-7.3404165901369252E-4</v>
      </c>
      <c r="N50">
        <f t="shared" si="2"/>
        <v>1.2409118238878771E-3</v>
      </c>
      <c r="O50">
        <f t="shared" si="3"/>
        <v>-1.772604387238172E-3</v>
      </c>
      <c r="P50">
        <f t="shared" si="4"/>
        <v>8.2217237021964653E-4</v>
      </c>
    </row>
    <row r="51" spans="1:16" x14ac:dyDescent="0.25">
      <c r="A51" s="2">
        <v>40301</v>
      </c>
      <c r="B51">
        <v>-9.5244969999999998E-3</v>
      </c>
      <c r="C51">
        <v>-1.7841335E-2</v>
      </c>
      <c r="D51">
        <v>1.30352E-2</v>
      </c>
      <c r="E51">
        <v>5.0753530000000003E-3</v>
      </c>
      <c r="F51">
        <v>-2.5939945999999998E-2</v>
      </c>
      <c r="G51">
        <v>-3.3259031000000001E-2</v>
      </c>
      <c r="H51">
        <v>-6.1047799999999998E-3</v>
      </c>
      <c r="I51">
        <v>8.6342099999999996E-4</v>
      </c>
      <c r="J51">
        <v>-7.5868660000000003E-3</v>
      </c>
      <c r="K51">
        <v>-1.7841335E-2</v>
      </c>
      <c r="L51">
        <f t="shared" si="0"/>
        <v>8.582246987719009E-3</v>
      </c>
      <c r="M51">
        <f t="shared" si="1"/>
        <v>-2.3521692861451569E-3</v>
      </c>
      <c r="N51">
        <f t="shared" si="2"/>
        <v>-6.9713599997151569E-3</v>
      </c>
      <c r="O51">
        <f t="shared" si="3"/>
        <v>-9.7933429920639154E-3</v>
      </c>
      <c r="P51">
        <f t="shared" si="4"/>
        <v>-5.0519111440826252E-3</v>
      </c>
    </row>
    <row r="52" spans="1:16" x14ac:dyDescent="0.25">
      <c r="A52" s="2">
        <v>40302</v>
      </c>
      <c r="B52">
        <v>-1.8303061999999998E-2</v>
      </c>
      <c r="C52">
        <v>-2.1593711000000002E-2</v>
      </c>
      <c r="D52">
        <v>-2.4127170999999999E-2</v>
      </c>
      <c r="E52">
        <v>-2.6297373999999998E-2</v>
      </c>
      <c r="F52">
        <v>0</v>
      </c>
      <c r="G52">
        <v>0</v>
      </c>
      <c r="H52">
        <v>-3.4097311999999998E-2</v>
      </c>
      <c r="I52">
        <v>-3.0722352000000001E-2</v>
      </c>
      <c r="J52">
        <v>-1.2506440000000001E-2</v>
      </c>
      <c r="K52">
        <v>-2.1593711000000002E-2</v>
      </c>
      <c r="L52">
        <f t="shared" si="0"/>
        <v>-3.7469558207372668E-2</v>
      </c>
      <c r="M52">
        <f t="shared" si="1"/>
        <v>-8.8225006989664529E-3</v>
      </c>
      <c r="N52">
        <f t="shared" si="2"/>
        <v>-2.3193169098141432E-2</v>
      </c>
      <c r="O52">
        <f t="shared" si="3"/>
        <v>-1.754066340015208E-2</v>
      </c>
      <c r="P52">
        <f t="shared" si="4"/>
        <v>-2.2513637894347457E-2</v>
      </c>
    </row>
    <row r="53" spans="1:16" x14ac:dyDescent="0.25">
      <c r="A53" s="2">
        <v>40303</v>
      </c>
      <c r="B53">
        <v>-1.5818452E-2</v>
      </c>
      <c r="C53">
        <v>-2.80919E-2</v>
      </c>
      <c r="D53">
        <v>-6.6083579999999999E-3</v>
      </c>
      <c r="E53">
        <v>-8.0917690000000004E-3</v>
      </c>
      <c r="F53">
        <v>-1.2871004E-2</v>
      </c>
      <c r="G53">
        <v>0</v>
      </c>
      <c r="H53">
        <v>6.9346499999999999E-4</v>
      </c>
      <c r="I53">
        <v>-1.3654444E-2</v>
      </c>
      <c r="J53">
        <v>-1.3384167000000001E-2</v>
      </c>
      <c r="K53">
        <v>-2.80919E-2</v>
      </c>
      <c r="L53">
        <f t="shared" si="0"/>
        <v>-2.1861936590409446E-2</v>
      </c>
      <c r="M53">
        <f t="shared" si="1"/>
        <v>-2.8411636621690239E-3</v>
      </c>
      <c r="N53">
        <f t="shared" si="2"/>
        <v>-1.6489806127397425E-2</v>
      </c>
      <c r="O53">
        <f t="shared" si="3"/>
        <v>-1.0519927086993322E-2</v>
      </c>
      <c r="P53">
        <f t="shared" si="4"/>
        <v>-2.106134786660056E-2</v>
      </c>
    </row>
    <row r="54" spans="1:16" x14ac:dyDescent="0.25">
      <c r="A54" s="2">
        <v>40304</v>
      </c>
      <c r="B54">
        <v>-1.2077182000000001E-2</v>
      </c>
      <c r="C54">
        <v>-2.4921713000000002E-2</v>
      </c>
      <c r="D54">
        <v>-3.2888465999999998E-2</v>
      </c>
      <c r="E54">
        <v>-8.4590080000000005E-3</v>
      </c>
      <c r="F54">
        <v>-1.5260272E-2</v>
      </c>
      <c r="G54">
        <v>0</v>
      </c>
      <c r="H54">
        <v>-2.3378659999999999E-2</v>
      </c>
      <c r="I54">
        <v>-1.7706495999999999E-2</v>
      </c>
      <c r="J54">
        <v>-1.3554059E-2</v>
      </c>
      <c r="K54">
        <v>-2.4921713000000002E-2</v>
      </c>
      <c r="L54">
        <f t="shared" si="0"/>
        <v>-2.2877805194883194E-2</v>
      </c>
      <c r="M54">
        <f t="shared" si="1"/>
        <v>-6.9073813518187987E-3</v>
      </c>
      <c r="N54">
        <f t="shared" si="2"/>
        <v>-1.7441802642946667E-2</v>
      </c>
      <c r="O54">
        <f t="shared" si="3"/>
        <v>-1.4164434108454549E-2</v>
      </c>
      <c r="P54">
        <f t="shared" si="4"/>
        <v>-2.0709292869463717E-2</v>
      </c>
    </row>
    <row r="55" spans="1:16" x14ac:dyDescent="0.25">
      <c r="A55" s="2">
        <v>40305</v>
      </c>
      <c r="B55">
        <v>-5.6752612000000001E-2</v>
      </c>
      <c r="C55">
        <v>-7.6967444999999995E-2</v>
      </c>
      <c r="D55">
        <v>-1.5426629000000001E-2</v>
      </c>
      <c r="E55">
        <v>-3.3241327000000001E-2</v>
      </c>
      <c r="F55">
        <v>-2.6580917999999999E-2</v>
      </c>
      <c r="G55">
        <v>-3.1445668000000003E-2</v>
      </c>
      <c r="H55">
        <v>-8.5996489999999991E-3</v>
      </c>
      <c r="I55">
        <v>-3.3875001000000002E-2</v>
      </c>
      <c r="J55">
        <v>-1.4724997E-2</v>
      </c>
      <c r="K55">
        <v>-7.6967444999999995E-2</v>
      </c>
      <c r="L55">
        <f t="shared" si="0"/>
        <v>-3.7441399638360753E-2</v>
      </c>
      <c r="M55">
        <f t="shared" si="1"/>
        <v>-1.2462518292893576E-2</v>
      </c>
      <c r="N55">
        <f t="shared" si="2"/>
        <v>-3.165228225252735E-2</v>
      </c>
      <c r="O55">
        <f t="shared" si="3"/>
        <v>-2.9712566013560086E-2</v>
      </c>
      <c r="P55">
        <f t="shared" si="4"/>
        <v>-3.4840629952207602E-2</v>
      </c>
    </row>
    <row r="56" spans="1:16" x14ac:dyDescent="0.25">
      <c r="A56" s="2">
        <v>40308</v>
      </c>
      <c r="B56">
        <v>6.8951683999999999E-2</v>
      </c>
      <c r="C56">
        <v>0.100620694</v>
      </c>
      <c r="D56">
        <v>4.3034725000000003E-2</v>
      </c>
      <c r="E56">
        <v>5.1629978E-2</v>
      </c>
      <c r="F56">
        <v>5.0322688999999997E-2</v>
      </c>
      <c r="G56">
        <v>1.5899612E-2</v>
      </c>
      <c r="H56">
        <v>4.0247320000000003E-2</v>
      </c>
      <c r="I56">
        <v>6.7042466999999994E-2</v>
      </c>
      <c r="J56">
        <v>2.5317649000000001E-2</v>
      </c>
      <c r="K56">
        <v>0.100620694</v>
      </c>
      <c r="L56">
        <f t="shared" si="0"/>
        <v>6.9240217514656449E-2</v>
      </c>
      <c r="M56">
        <f t="shared" si="1"/>
        <v>2.7865786908964119E-2</v>
      </c>
      <c r="N56">
        <f t="shared" si="2"/>
        <v>5.6465282572688E-2</v>
      </c>
      <c r="O56">
        <f t="shared" si="3"/>
        <v>5.0394479213291411E-2</v>
      </c>
      <c r="P56">
        <f t="shared" si="4"/>
        <v>6.0915052862452579E-2</v>
      </c>
    </row>
    <row r="57" spans="1:16" x14ac:dyDescent="0.25">
      <c r="A57" s="2">
        <v>40309</v>
      </c>
      <c r="B57">
        <v>2.43026E-4</v>
      </c>
      <c r="C57">
        <v>-1.0619633999999999E-2</v>
      </c>
      <c r="D57">
        <v>-3.4031270000000001E-3</v>
      </c>
      <c r="E57">
        <v>3.2847779999999999E-3</v>
      </c>
      <c r="F57">
        <v>-9.9239730000000009E-3</v>
      </c>
      <c r="G57">
        <v>-1.1422256E-2</v>
      </c>
      <c r="H57">
        <v>-1.5830571000000002E-2</v>
      </c>
      <c r="I57">
        <v>-7.2649819999999997E-3</v>
      </c>
      <c r="J57">
        <v>-6.5663750000000002E-3</v>
      </c>
      <c r="K57">
        <v>-1.0619633999999999E-2</v>
      </c>
      <c r="L57">
        <f t="shared" si="0"/>
        <v>-6.1230780630085069E-3</v>
      </c>
      <c r="M57">
        <f t="shared" si="1"/>
        <v>-1.9221253958978846E-3</v>
      </c>
      <c r="N57">
        <f t="shared" si="2"/>
        <v>-7.7863598371875819E-3</v>
      </c>
      <c r="O57">
        <f t="shared" si="3"/>
        <v>-6.2554642901386202E-3</v>
      </c>
      <c r="P57">
        <f t="shared" si="4"/>
        <v>-6.9316770845882884E-3</v>
      </c>
    </row>
    <row r="58" spans="1:16" x14ac:dyDescent="0.25">
      <c r="A58" s="2">
        <v>40310</v>
      </c>
      <c r="B58">
        <v>2.647418E-2</v>
      </c>
      <c r="C58">
        <v>3.099938E-2</v>
      </c>
      <c r="D58">
        <v>1.3645989000000001E-2</v>
      </c>
      <c r="E58">
        <v>2.3858035999999999E-2</v>
      </c>
      <c r="F58">
        <v>9.1997999999999993E-3</v>
      </c>
      <c r="G58">
        <v>-1.6409420000000001E-3</v>
      </c>
      <c r="H58">
        <v>1.2325743E-2</v>
      </c>
      <c r="I58">
        <v>1.2905352E-2</v>
      </c>
      <c r="J58">
        <v>7.1674099999999999E-3</v>
      </c>
      <c r="K58">
        <v>3.099938E-2</v>
      </c>
      <c r="L58">
        <f t="shared" si="0"/>
        <v>1.3834916023281506E-2</v>
      </c>
      <c r="M58">
        <f t="shared" si="1"/>
        <v>9.0662360232214821E-3</v>
      </c>
      <c r="N58">
        <f t="shared" si="2"/>
        <v>1.3052022106333157E-2</v>
      </c>
      <c r="O58">
        <f t="shared" si="3"/>
        <v>1.3716758501069832E-2</v>
      </c>
      <c r="P58">
        <f t="shared" si="4"/>
        <v>1.3021682426291014E-2</v>
      </c>
    </row>
    <row r="59" spans="1:16" x14ac:dyDescent="0.25">
      <c r="A59" s="2">
        <v>40311</v>
      </c>
      <c r="B59">
        <v>-8.0772299999999999E-4</v>
      </c>
      <c r="C59">
        <v>6.1901070000000002E-3</v>
      </c>
      <c r="D59">
        <v>-1.2219412000000001E-2</v>
      </c>
      <c r="E59">
        <v>1.1013777000000001E-2</v>
      </c>
      <c r="F59">
        <v>9.2815810000000006E-3</v>
      </c>
      <c r="G59">
        <v>2.1559201E-2</v>
      </c>
      <c r="H59">
        <v>-6.7070979999999999E-3</v>
      </c>
      <c r="I59">
        <v>3.2409969999999998E-3</v>
      </c>
      <c r="J59">
        <v>5.7799770000000004E-3</v>
      </c>
      <c r="K59">
        <v>6.1901070000000002E-3</v>
      </c>
      <c r="L59">
        <f t="shared" si="0"/>
        <v>5.7493302495465904E-3</v>
      </c>
      <c r="M59">
        <f t="shared" si="1"/>
        <v>5.4167985723429356E-3</v>
      </c>
      <c r="N59">
        <f t="shared" si="2"/>
        <v>1.0040671334090336E-2</v>
      </c>
      <c r="O59">
        <f t="shared" si="3"/>
        <v>1.11216243390101E-2</v>
      </c>
      <c r="P59">
        <f t="shared" si="4"/>
        <v>9.9751194828084366E-3</v>
      </c>
    </row>
    <row r="60" spans="1:16" x14ac:dyDescent="0.25">
      <c r="A60" s="2">
        <v>40312</v>
      </c>
      <c r="B60">
        <v>-3.8389961E-2</v>
      </c>
      <c r="C60">
        <v>-4.6439623999999999E-2</v>
      </c>
      <c r="D60">
        <v>-1.8979078999999999E-2</v>
      </c>
      <c r="E60">
        <v>-3.1729866000000002E-2</v>
      </c>
      <c r="F60">
        <v>-3.1938095999999999E-2</v>
      </c>
      <c r="G60">
        <v>-1.4992412E-2</v>
      </c>
      <c r="H60">
        <v>-2.1467283E-2</v>
      </c>
      <c r="I60">
        <v>-3.5458268000000001E-2</v>
      </c>
      <c r="J60">
        <v>-1.1049522000000001E-2</v>
      </c>
      <c r="K60">
        <v>-4.6439623999999999E-2</v>
      </c>
      <c r="L60">
        <f t="shared" si="0"/>
        <v>-2.9039700867064699E-2</v>
      </c>
      <c r="M60">
        <f t="shared" si="1"/>
        <v>-1.239940824475641E-2</v>
      </c>
      <c r="N60">
        <f t="shared" si="2"/>
        <v>-2.7138071256355013E-2</v>
      </c>
      <c r="O60">
        <f t="shared" si="3"/>
        <v>-2.6302485331916554E-2</v>
      </c>
      <c r="P60">
        <f t="shared" si="4"/>
        <v>-2.7890107871637766E-2</v>
      </c>
    </row>
    <row r="61" spans="1:16" x14ac:dyDescent="0.25">
      <c r="A61" s="2">
        <v>40315</v>
      </c>
      <c r="B61">
        <v>5.7809669999999997E-3</v>
      </c>
      <c r="C61">
        <v>-3.439788E-3</v>
      </c>
      <c r="D61">
        <v>1.108852E-3</v>
      </c>
      <c r="E61">
        <v>1.6843139999999999E-3</v>
      </c>
      <c r="F61" s="1">
        <v>-7.6006600000000005E-5</v>
      </c>
      <c r="G61">
        <v>-2.191092E-2</v>
      </c>
      <c r="H61">
        <v>-8.6476409999999993E-3</v>
      </c>
      <c r="I61">
        <v>-5.5237999999999999E-4</v>
      </c>
      <c r="J61">
        <v>-1.3753547E-2</v>
      </c>
      <c r="K61">
        <v>-3.439788E-3</v>
      </c>
      <c r="L61">
        <f t="shared" si="0"/>
        <v>-1.178770774580944E-2</v>
      </c>
      <c r="M61">
        <f t="shared" si="1"/>
        <v>-1.3216786106573473E-3</v>
      </c>
      <c r="N61">
        <f t="shared" si="2"/>
        <v>-1.1169463727810858E-2</v>
      </c>
      <c r="O61">
        <f t="shared" si="3"/>
        <v>-7.8585211035416339E-3</v>
      </c>
      <c r="P61">
        <f t="shared" si="4"/>
        <v>-1.1719324265906956E-2</v>
      </c>
    </row>
    <row r="62" spans="1:16" x14ac:dyDescent="0.25">
      <c r="A62" s="2">
        <v>40316</v>
      </c>
      <c r="B62">
        <v>1.6049266E-2</v>
      </c>
      <c r="C62">
        <v>2.1205696999999999E-2</v>
      </c>
      <c r="D62">
        <v>-1.4297727E-2</v>
      </c>
      <c r="E62">
        <v>1.4564782E-2</v>
      </c>
      <c r="F62">
        <v>8.4770320000000007E-3</v>
      </c>
      <c r="G62">
        <v>6.7192800000000002E-4</v>
      </c>
      <c r="H62">
        <v>-3.2741573000000003E-2</v>
      </c>
      <c r="I62">
        <v>1.3739955E-2</v>
      </c>
      <c r="J62">
        <v>-2.4190639999999998E-3</v>
      </c>
      <c r="K62">
        <v>2.1205696999999999E-2</v>
      </c>
      <c r="L62">
        <f t="shared" si="0"/>
        <v>1.6127756324434465E-2</v>
      </c>
      <c r="M62">
        <f t="shared" si="1"/>
        <v>2.3587529520137261E-3</v>
      </c>
      <c r="N62">
        <f t="shared" si="2"/>
        <v>9.0962873275245194E-3</v>
      </c>
      <c r="O62">
        <f t="shared" si="3"/>
        <v>6.5020589068531852E-3</v>
      </c>
      <c r="P62">
        <f t="shared" si="4"/>
        <v>1.3978339729101879E-2</v>
      </c>
    </row>
    <row r="63" spans="1:16" x14ac:dyDescent="0.25">
      <c r="A63" s="2">
        <v>40318</v>
      </c>
      <c r="B63">
        <v>-4.5388971E-2</v>
      </c>
      <c r="C63">
        <v>-7.3525699999999999E-2</v>
      </c>
      <c r="D63">
        <v>-4.4899188999999999E-2</v>
      </c>
      <c r="E63">
        <v>-4.7922434999999999E-2</v>
      </c>
      <c r="F63">
        <v>-4.5131161000000003E-2</v>
      </c>
      <c r="G63">
        <v>-2.094789E-2</v>
      </c>
      <c r="H63">
        <v>-4.4516015999999999E-2</v>
      </c>
      <c r="I63">
        <v>-4.6420551999999997E-2</v>
      </c>
      <c r="J63">
        <v>-3.6374727000000003E-2</v>
      </c>
      <c r="K63">
        <v>-7.3525699999999999E-2</v>
      </c>
      <c r="L63">
        <f t="shared" si="0"/>
        <v>-5.5648218450635806E-2</v>
      </c>
      <c r="M63">
        <f t="shared" si="1"/>
        <v>-2.2592147184653768E-2</v>
      </c>
      <c r="N63">
        <f t="shared" si="2"/>
        <v>-5.1673532876779851E-2</v>
      </c>
      <c r="O63">
        <f t="shared" si="3"/>
        <v>-4.6390895116355427E-2</v>
      </c>
      <c r="P63">
        <f t="shared" si="4"/>
        <v>-5.5817832760548025E-2</v>
      </c>
    </row>
    <row r="64" spans="1:16" x14ac:dyDescent="0.25">
      <c r="A64" s="2">
        <v>40319</v>
      </c>
      <c r="B64">
        <v>-6.2320650000000002E-3</v>
      </c>
      <c r="C64">
        <v>-8.0728129999999999E-3</v>
      </c>
      <c r="D64">
        <v>1.4912655E-2</v>
      </c>
      <c r="E64">
        <v>-6.6050630000000004E-3</v>
      </c>
      <c r="F64">
        <v>-2.0126290000000002E-3</v>
      </c>
      <c r="G64">
        <v>-2.4807920000000001E-2</v>
      </c>
      <c r="H64">
        <v>3.4904050999999998E-2</v>
      </c>
      <c r="I64">
        <v>-8.3353500000000005E-4</v>
      </c>
      <c r="J64">
        <v>1.1243900000000001E-3</v>
      </c>
      <c r="K64">
        <v>-8.0728129999999999E-3</v>
      </c>
      <c r="L64">
        <f t="shared" si="0"/>
        <v>-6.2491134525559204E-3</v>
      </c>
      <c r="M64">
        <f t="shared" si="1"/>
        <v>2.8013423669093753E-3</v>
      </c>
      <c r="N64">
        <f t="shared" si="2"/>
        <v>-3.4484474625503352E-3</v>
      </c>
      <c r="O64">
        <f t="shared" si="3"/>
        <v>-3.469550003465295E-3</v>
      </c>
      <c r="P64">
        <f t="shared" si="4"/>
        <v>-7.7616991504384381E-3</v>
      </c>
    </row>
    <row r="65" spans="1:16" x14ac:dyDescent="0.25">
      <c r="A65" s="2">
        <v>40322</v>
      </c>
      <c r="B65">
        <v>8.2187079999999999E-3</v>
      </c>
      <c r="C65">
        <v>1.5165339999999999E-2</v>
      </c>
      <c r="D65">
        <v>-1.2992123E-2</v>
      </c>
      <c r="E65">
        <v>-4.051598E-3</v>
      </c>
      <c r="F65">
        <v>1.3224770000000001E-3</v>
      </c>
      <c r="G65">
        <v>-2.6751359999999998E-3</v>
      </c>
      <c r="H65">
        <v>-5.7250479999999999E-3</v>
      </c>
      <c r="I65">
        <v>-1.938918E-3</v>
      </c>
      <c r="J65">
        <v>5.1101200000000001E-3</v>
      </c>
      <c r="K65">
        <v>1.5165339999999999E-2</v>
      </c>
      <c r="L65">
        <f t="shared" si="0"/>
        <v>3.1257835183394248E-3</v>
      </c>
      <c r="M65">
        <f t="shared" si="1"/>
        <v>7.0010793040853597E-4</v>
      </c>
      <c r="N65">
        <f t="shared" si="2"/>
        <v>3.7943268505528454E-3</v>
      </c>
      <c r="O65">
        <f t="shared" si="3"/>
        <v>6.6818693293150579E-4</v>
      </c>
      <c r="P65">
        <f t="shared" si="4"/>
        <v>4.6049639910449641E-3</v>
      </c>
    </row>
    <row r="66" spans="1:16" x14ac:dyDescent="0.25">
      <c r="A66" s="2">
        <v>40323</v>
      </c>
      <c r="B66">
        <v>-4.3092096000000003E-2</v>
      </c>
      <c r="C66">
        <v>-5.7318925E-2</v>
      </c>
      <c r="D66">
        <v>3.5387E-4</v>
      </c>
      <c r="E66">
        <v>-2.3640576E-2</v>
      </c>
      <c r="F66">
        <v>-2.5754896999999999E-2</v>
      </c>
      <c r="G66">
        <v>-3.1067696999999998E-2</v>
      </c>
      <c r="H66">
        <v>-1.2275655999999999E-2</v>
      </c>
      <c r="I66">
        <v>-2.6448367E-2</v>
      </c>
      <c r="J66">
        <v>-2.7590292999999998E-2</v>
      </c>
      <c r="K66">
        <v>-5.7318925E-2</v>
      </c>
      <c r="L66">
        <f t="shared" si="0"/>
        <v>-3.9221160261345041E-2</v>
      </c>
      <c r="M66">
        <f t="shared" si="1"/>
        <v>-1.1111609005081508E-2</v>
      </c>
      <c r="N66">
        <f t="shared" si="2"/>
        <v>-3.6662708434718166E-2</v>
      </c>
      <c r="O66">
        <f t="shared" si="3"/>
        <v>-2.9467727309799158E-2</v>
      </c>
      <c r="P66">
        <f t="shared" si="4"/>
        <v>-3.9716984147921554E-2</v>
      </c>
    </row>
    <row r="67" spans="1:16" x14ac:dyDescent="0.25">
      <c r="A67" s="2">
        <v>40324</v>
      </c>
      <c r="B67">
        <v>3.4723685999999997E-2</v>
      </c>
      <c r="C67">
        <v>4.3782356000000001E-2</v>
      </c>
      <c r="D67">
        <v>-5.6770060000000001E-3</v>
      </c>
      <c r="E67">
        <v>1.5397493E-2</v>
      </c>
      <c r="F67">
        <v>1.9522004999999999E-2</v>
      </c>
      <c r="G67">
        <v>6.6134660000000001E-3</v>
      </c>
      <c r="H67">
        <v>1.685499E-2</v>
      </c>
      <c r="I67">
        <v>1.9345617999999998E-2</v>
      </c>
      <c r="J67">
        <v>2.156199E-2</v>
      </c>
      <c r="K67">
        <v>4.3782356000000001E-2</v>
      </c>
      <c r="L67">
        <f t="shared" si="0"/>
        <v>2.7668307386187835E-2</v>
      </c>
      <c r="M67">
        <f t="shared" si="1"/>
        <v>1.0800687193939503E-2</v>
      </c>
      <c r="N67">
        <f t="shared" si="2"/>
        <v>2.7461688800141094E-2</v>
      </c>
      <c r="O67">
        <f t="shared" si="3"/>
        <v>2.0664801865131293E-2</v>
      </c>
      <c r="P67">
        <f t="shared" si="4"/>
        <v>2.8096730742329334E-2</v>
      </c>
    </row>
    <row r="68" spans="1:16" x14ac:dyDescent="0.25">
      <c r="A68" s="2">
        <v>40325</v>
      </c>
      <c r="B68">
        <v>7.2642080000000003E-3</v>
      </c>
      <c r="C68">
        <v>1.4993319E-2</v>
      </c>
      <c r="D68">
        <v>3.2347213E-2</v>
      </c>
      <c r="E68">
        <v>3.0633870000000001E-2</v>
      </c>
      <c r="F68">
        <v>3.0706094999999999E-2</v>
      </c>
      <c r="G68">
        <v>1.2217841E-2</v>
      </c>
      <c r="H68">
        <v>3.1110931000000001E-2</v>
      </c>
      <c r="I68">
        <v>2.9856858999999999E-2</v>
      </c>
      <c r="J68">
        <v>1.7184219000000001E-2</v>
      </c>
      <c r="K68">
        <v>1.4993319E-2</v>
      </c>
      <c r="L68">
        <f t="shared" ref="L68:L131" si="5">SUMPRODUCT(D68:J68,$R$8:$X$8)+$Y$8</f>
        <v>3.061193161014103E-2</v>
      </c>
      <c r="M68">
        <f t="shared" ref="M68:M131" si="6">SUMPRODUCT(D68:J68,$R$16:$X$16)+$Y$16</f>
        <v>1.7896541066102181E-2</v>
      </c>
      <c r="N68">
        <f t="shared" ref="N68:N131" si="7">SUMPRODUCT(D68:J68,$R$24:$X$24)+$Y$24</f>
        <v>3.0160119104411943E-2</v>
      </c>
      <c r="O68">
        <f t="shared" ref="O68:O131" si="8">SUMPRODUCT(D68:J68,$R$32:$X$32)+$Y$32</f>
        <v>3.016558202162252E-2</v>
      </c>
      <c r="P68">
        <f t="shared" ref="P68:P131" si="9">SUMPRODUCT(D68:J68,$R$40:$X$40)+$Y$40</f>
        <v>3.1503429781304007E-2</v>
      </c>
    </row>
    <row r="69" spans="1:16" x14ac:dyDescent="0.25">
      <c r="A69" s="2">
        <v>40326</v>
      </c>
      <c r="B69">
        <v>1.3409826E-2</v>
      </c>
      <c r="C69">
        <v>1.9388862E-2</v>
      </c>
      <c r="D69">
        <v>-1.2451871E-2</v>
      </c>
      <c r="E69">
        <v>1.521461E-3</v>
      </c>
      <c r="F69">
        <v>-1.3097580000000001E-3</v>
      </c>
      <c r="G69">
        <v>1.2705619E-2</v>
      </c>
      <c r="H69">
        <v>-2.3379749999999999E-3</v>
      </c>
      <c r="I69">
        <v>-8.6717900000000004E-4</v>
      </c>
      <c r="J69">
        <v>7.1759839999999998E-3</v>
      </c>
      <c r="K69">
        <v>1.9388862E-2</v>
      </c>
      <c r="L69">
        <f t="shared" si="5"/>
        <v>6.9514775143158618E-3</v>
      </c>
      <c r="M69">
        <f t="shared" si="6"/>
        <v>2.8438001789287968E-3</v>
      </c>
      <c r="N69">
        <f t="shared" si="7"/>
        <v>7.4470217543647996E-3</v>
      </c>
      <c r="O69">
        <f t="shared" si="8"/>
        <v>5.5587139153185144E-3</v>
      </c>
      <c r="P69">
        <f t="shared" si="9"/>
        <v>7.2953547352536414E-3</v>
      </c>
    </row>
    <row r="70" spans="1:16" x14ac:dyDescent="0.25">
      <c r="A70" s="2">
        <v>40329</v>
      </c>
      <c r="B70">
        <v>-1.5485634999999999E-2</v>
      </c>
      <c r="C70">
        <v>-2.5179175000000002E-2</v>
      </c>
      <c r="D70">
        <v>-1.7314284999999999E-2</v>
      </c>
      <c r="E70">
        <v>3.0477310000000001E-3</v>
      </c>
      <c r="F70">
        <v>-4.8494549999999999E-3</v>
      </c>
      <c r="G70">
        <v>5.85715E-4</v>
      </c>
      <c r="H70">
        <v>1.7601299000000001E-2</v>
      </c>
      <c r="I70">
        <v>-3.1698700000000002E-4</v>
      </c>
      <c r="J70">
        <v>1.1325081000000001E-2</v>
      </c>
      <c r="K70">
        <v>-2.5179175000000002E-2</v>
      </c>
      <c r="L70">
        <f t="shared" si="5"/>
        <v>5.6110339426124079E-3</v>
      </c>
      <c r="M70">
        <f t="shared" si="6"/>
        <v>3.2884200446279092E-3</v>
      </c>
      <c r="N70">
        <f t="shared" si="7"/>
        <v>8.2082592652014154E-3</v>
      </c>
      <c r="O70">
        <f t="shared" si="8"/>
        <v>4.3693995585289882E-3</v>
      </c>
      <c r="P70">
        <f t="shared" si="9"/>
        <v>4.1232012116016788E-3</v>
      </c>
    </row>
    <row r="71" spans="1:16" x14ac:dyDescent="0.25">
      <c r="A71" s="2">
        <v>40330</v>
      </c>
      <c r="B71">
        <v>1.3858200000000001E-3</v>
      </c>
      <c r="C71">
        <v>-7.1334019999999996E-3</v>
      </c>
      <c r="D71">
        <v>0</v>
      </c>
      <c r="E71">
        <v>2.8361929999999999E-3</v>
      </c>
      <c r="F71">
        <v>0</v>
      </c>
      <c r="G71">
        <v>-5.8386669999999996E-3</v>
      </c>
      <c r="H71">
        <v>-1.9313904999999999E-2</v>
      </c>
      <c r="I71">
        <v>-2.4351590000000001E-3</v>
      </c>
      <c r="J71">
        <v>-1.5882222000000001E-2</v>
      </c>
      <c r="K71">
        <v>-7.1334019999999996E-3</v>
      </c>
      <c r="L71">
        <f t="shared" si="5"/>
        <v>-1.2269556646350257E-2</v>
      </c>
      <c r="M71">
        <f t="shared" si="6"/>
        <v>-1.1502584789084831E-3</v>
      </c>
      <c r="N71">
        <f t="shared" si="7"/>
        <v>-1.1334490520643944E-2</v>
      </c>
      <c r="O71">
        <f t="shared" si="8"/>
        <v>-5.7737999319601016E-3</v>
      </c>
      <c r="P71">
        <f t="shared" si="9"/>
        <v>-1.0819262100900893E-2</v>
      </c>
    </row>
    <row r="72" spans="1:16" x14ac:dyDescent="0.25">
      <c r="A72" s="2">
        <v>40331</v>
      </c>
      <c r="B72">
        <v>1.3716279E-2</v>
      </c>
      <c r="C72">
        <v>1.7966551000000001E-2</v>
      </c>
      <c r="D72">
        <v>2.5514386999999999E-2</v>
      </c>
      <c r="E72" s="1">
        <v>-1.17033E-5</v>
      </c>
      <c r="F72">
        <v>-2.3268E-3</v>
      </c>
      <c r="G72">
        <v>-1.1244189E-2</v>
      </c>
      <c r="H72">
        <v>1.7662980000000002E-2</v>
      </c>
      <c r="I72">
        <v>5.5577600000000001E-4</v>
      </c>
      <c r="J72">
        <v>3.4443049999999999E-3</v>
      </c>
      <c r="K72">
        <v>1.7966551000000001E-2</v>
      </c>
      <c r="L72">
        <f t="shared" si="5"/>
        <v>4.6005175105504181E-3</v>
      </c>
      <c r="M72">
        <f t="shared" si="6"/>
        <v>4.3908954306490569E-3</v>
      </c>
      <c r="N72">
        <f t="shared" si="7"/>
        <v>1.8828818945827118E-3</v>
      </c>
      <c r="O72">
        <f t="shared" si="8"/>
        <v>2.2388991180767193E-3</v>
      </c>
      <c r="P72">
        <f t="shared" si="9"/>
        <v>2.5144586829209058E-3</v>
      </c>
    </row>
    <row r="73" spans="1:16" x14ac:dyDescent="0.25">
      <c r="A73" s="2">
        <v>40332</v>
      </c>
      <c r="B73">
        <v>3.5203529999999999E-3</v>
      </c>
      <c r="C73">
        <v>8.1771550000000002E-3</v>
      </c>
      <c r="D73">
        <v>4.0432360000000004E-3</v>
      </c>
      <c r="E73">
        <v>1.2202052E-2</v>
      </c>
      <c r="F73">
        <v>1.1561046E-2</v>
      </c>
      <c r="G73">
        <v>3.1866523000000001E-2</v>
      </c>
      <c r="H73">
        <v>-2.0334679000000001E-2</v>
      </c>
      <c r="I73">
        <v>1.2310678E-2</v>
      </c>
      <c r="J73">
        <v>1.1455399E-2</v>
      </c>
      <c r="K73">
        <v>8.1771550000000002E-3</v>
      </c>
      <c r="L73">
        <f t="shared" si="5"/>
        <v>2.8210657906446675E-2</v>
      </c>
      <c r="M73">
        <f t="shared" si="6"/>
        <v>8.114688926197813E-3</v>
      </c>
      <c r="N73">
        <f t="shared" si="7"/>
        <v>2.1338071147651454E-2</v>
      </c>
      <c r="O73">
        <f t="shared" si="8"/>
        <v>1.9020161563522112E-2</v>
      </c>
      <c r="P73">
        <f t="shared" si="9"/>
        <v>2.8241891106128309E-2</v>
      </c>
    </row>
    <row r="74" spans="1:16" x14ac:dyDescent="0.25">
      <c r="A74" s="2">
        <v>40333</v>
      </c>
      <c r="B74">
        <v>-1.4439062000000001E-2</v>
      </c>
      <c r="C74">
        <v>-2.1635353E-2</v>
      </c>
      <c r="D74">
        <v>-3.5017487E-2</v>
      </c>
      <c r="E74">
        <v>-1.9302705E-2</v>
      </c>
      <c r="F74">
        <v>-1.6484527999999998E-2</v>
      </c>
      <c r="G74">
        <v>-1.312112E-3</v>
      </c>
      <c r="H74">
        <v>0</v>
      </c>
      <c r="I74">
        <v>-2.1691070999999999E-2</v>
      </c>
      <c r="J74">
        <v>-6.2334920000000002E-3</v>
      </c>
      <c r="K74">
        <v>-2.1635353E-2</v>
      </c>
      <c r="L74">
        <f t="shared" si="5"/>
        <v>-2.5631248356293053E-2</v>
      </c>
      <c r="M74">
        <f t="shared" si="6"/>
        <v>-6.4346609344556605E-3</v>
      </c>
      <c r="N74">
        <f t="shared" si="7"/>
        <v>-1.6057093180665109E-2</v>
      </c>
      <c r="O74">
        <f t="shared" si="8"/>
        <v>-1.4843221747559119E-2</v>
      </c>
      <c r="P74">
        <f t="shared" si="9"/>
        <v>-2.2616655455965876E-2</v>
      </c>
    </row>
    <row r="75" spans="1:16" x14ac:dyDescent="0.25">
      <c r="A75" s="2">
        <v>40336</v>
      </c>
      <c r="B75">
        <v>-5.6243489999999998E-3</v>
      </c>
      <c r="C75">
        <v>-1.5977304000000001E-2</v>
      </c>
      <c r="D75">
        <v>-1.3624434E-2</v>
      </c>
      <c r="E75">
        <v>-5.7295810000000001E-3</v>
      </c>
      <c r="F75">
        <v>-1.1162340999999999E-2</v>
      </c>
      <c r="G75">
        <v>-3.9176072999999999E-2</v>
      </c>
      <c r="H75">
        <v>-8.0255029999999998E-3</v>
      </c>
      <c r="I75">
        <v>-9.4701850000000008E-3</v>
      </c>
      <c r="J75">
        <v>-1.5968381E-2</v>
      </c>
      <c r="K75">
        <v>-1.5977304000000001E-2</v>
      </c>
      <c r="L75">
        <f t="shared" si="5"/>
        <v>-2.176638547496678E-2</v>
      </c>
      <c r="M75">
        <f t="shared" si="6"/>
        <v>-6.420355663107986E-3</v>
      </c>
      <c r="N75">
        <f t="shared" si="7"/>
        <v>-1.9780013635418217E-2</v>
      </c>
      <c r="O75">
        <f t="shared" si="8"/>
        <v>-1.8372806541861825E-2</v>
      </c>
      <c r="P75">
        <f t="shared" si="9"/>
        <v>-2.2796799353501453E-2</v>
      </c>
    </row>
    <row r="76" spans="1:16" x14ac:dyDescent="0.25">
      <c r="A76" s="2">
        <v>40337</v>
      </c>
      <c r="B76">
        <v>-1.1897225000000001E-2</v>
      </c>
      <c r="C76">
        <v>-1.4532623999999999E-2</v>
      </c>
      <c r="D76">
        <v>1.0916240000000001E-2</v>
      </c>
      <c r="E76">
        <v>-6.1833979999999997E-3</v>
      </c>
      <c r="F76">
        <v>-8.1211080000000001E-3</v>
      </c>
      <c r="G76">
        <v>1.7986499999999999E-3</v>
      </c>
      <c r="H76">
        <v>1.093973E-2</v>
      </c>
      <c r="I76">
        <v>-8.1248689999999998E-3</v>
      </c>
      <c r="J76">
        <v>7.2362900000000005E-4</v>
      </c>
      <c r="K76">
        <v>-1.4532623999999999E-2</v>
      </c>
      <c r="L76">
        <f t="shared" si="5"/>
        <v>-4.1761405377167375E-3</v>
      </c>
      <c r="M76">
        <f t="shared" si="6"/>
        <v>1.7128743007346976E-3</v>
      </c>
      <c r="N76">
        <f t="shared" si="7"/>
        <v>-3.2430119382283037E-3</v>
      </c>
      <c r="O76">
        <f t="shared" si="8"/>
        <v>-1.2962536448571976E-3</v>
      </c>
      <c r="P76">
        <f t="shared" si="9"/>
        <v>-4.3475888439693487E-3</v>
      </c>
    </row>
    <row r="77" spans="1:16" x14ac:dyDescent="0.25">
      <c r="A77" s="2">
        <v>40338</v>
      </c>
      <c r="B77">
        <v>1.1865736999999999E-2</v>
      </c>
      <c r="C77">
        <v>1.5006205999999999E-2</v>
      </c>
      <c r="D77">
        <v>-5.9593409999999999E-3</v>
      </c>
      <c r="E77">
        <v>1.9606981999999998E-2</v>
      </c>
      <c r="F77">
        <v>1.1429826000000001E-2</v>
      </c>
      <c r="G77">
        <v>-1.0413713999999999E-2</v>
      </c>
      <c r="H77">
        <v>-6.1134500000000003E-3</v>
      </c>
      <c r="I77">
        <v>1.5901475000000002E-2</v>
      </c>
      <c r="J77">
        <v>1.7334E-3</v>
      </c>
      <c r="K77">
        <v>1.5006205999999999E-2</v>
      </c>
      <c r="L77">
        <f t="shared" si="5"/>
        <v>1.3277229006321447E-2</v>
      </c>
      <c r="M77">
        <f t="shared" si="6"/>
        <v>5.3041892156325404E-3</v>
      </c>
      <c r="N77">
        <f t="shared" si="7"/>
        <v>1.0594374286305712E-2</v>
      </c>
      <c r="O77">
        <f t="shared" si="8"/>
        <v>8.5505198330962946E-3</v>
      </c>
      <c r="P77">
        <f t="shared" si="9"/>
        <v>1.1694397261347644E-2</v>
      </c>
    </row>
    <row r="78" spans="1:16" x14ac:dyDescent="0.25">
      <c r="A78" s="2">
        <v>40339</v>
      </c>
      <c r="B78">
        <v>1.0203011999999999E-2</v>
      </c>
      <c r="C78">
        <v>1.2652948000000001E-2</v>
      </c>
      <c r="D78">
        <v>2.9079822000000002E-2</v>
      </c>
      <c r="E78">
        <v>1.1932368E-2</v>
      </c>
      <c r="F78">
        <v>9.1208650000000006E-3</v>
      </c>
      <c r="G78">
        <v>1.0907409999999999E-2</v>
      </c>
      <c r="H78">
        <v>2.5216549000000001E-2</v>
      </c>
      <c r="I78">
        <v>1.5173935E-2</v>
      </c>
      <c r="J78">
        <v>1.0020454E-2</v>
      </c>
      <c r="K78">
        <v>1.2652948000000001E-2</v>
      </c>
      <c r="L78">
        <f t="shared" si="5"/>
        <v>2.0753642757394324E-2</v>
      </c>
      <c r="M78">
        <f t="shared" si="6"/>
        <v>1.1203281513325825E-2</v>
      </c>
      <c r="N78">
        <f t="shared" si="7"/>
        <v>1.6760144089707933E-2</v>
      </c>
      <c r="O78">
        <f t="shared" si="8"/>
        <v>1.6868988098383175E-2</v>
      </c>
      <c r="P78">
        <f t="shared" si="9"/>
        <v>1.7573019759681764E-2</v>
      </c>
    </row>
    <row r="79" spans="1:16" x14ac:dyDescent="0.25">
      <c r="A79" s="2">
        <v>40340</v>
      </c>
      <c r="B79">
        <v>4.9057559999999998E-3</v>
      </c>
      <c r="C79">
        <v>1.5163322999999999E-2</v>
      </c>
      <c r="D79">
        <v>4.3701069999999998E-3</v>
      </c>
      <c r="E79">
        <v>-1.4474049999999999E-3</v>
      </c>
      <c r="F79">
        <v>6.0605069999999997E-3</v>
      </c>
      <c r="G79">
        <v>1.6895752E-2</v>
      </c>
      <c r="H79">
        <v>8.7798819999999993E-3</v>
      </c>
      <c r="I79">
        <v>7.0702730000000002E-3</v>
      </c>
      <c r="J79">
        <v>8.7738699999999996E-3</v>
      </c>
      <c r="K79">
        <v>1.5163322999999999E-2</v>
      </c>
      <c r="L79">
        <f t="shared" si="5"/>
        <v>1.4575910798281798E-2</v>
      </c>
      <c r="M79">
        <f t="shared" si="6"/>
        <v>6.308590413153941E-3</v>
      </c>
      <c r="N79">
        <f t="shared" si="7"/>
        <v>1.2687846258919635E-2</v>
      </c>
      <c r="O79">
        <f t="shared" si="8"/>
        <v>1.0746156603655089E-2</v>
      </c>
      <c r="P79">
        <f t="shared" si="9"/>
        <v>1.3691271640169065E-2</v>
      </c>
    </row>
    <row r="80" spans="1:16" x14ac:dyDescent="0.25">
      <c r="A80" s="2">
        <v>40343</v>
      </c>
      <c r="B80">
        <v>1.0055629999999999E-2</v>
      </c>
      <c r="C80">
        <v>1.7462518999999999E-2</v>
      </c>
      <c r="D80">
        <v>-1.8063210000000001E-3</v>
      </c>
      <c r="E80">
        <v>1.2679226E-2</v>
      </c>
      <c r="F80">
        <v>7.4090129999999999E-3</v>
      </c>
      <c r="G80">
        <v>1.7830353E-2</v>
      </c>
      <c r="H80">
        <v>-1.1326280000000001E-3</v>
      </c>
      <c r="I80">
        <v>1.1863479999999999E-2</v>
      </c>
      <c r="J80">
        <v>7.8778990000000007E-3</v>
      </c>
      <c r="K80">
        <v>1.7462518999999999E-2</v>
      </c>
      <c r="L80">
        <f t="shared" si="5"/>
        <v>1.8559091961493017E-2</v>
      </c>
      <c r="M80">
        <f t="shared" si="6"/>
        <v>7.2684307404652839E-3</v>
      </c>
      <c r="N80">
        <f t="shared" si="7"/>
        <v>1.5591060919153552E-2</v>
      </c>
      <c r="O80">
        <f t="shared" si="8"/>
        <v>1.4046134697239898E-2</v>
      </c>
      <c r="P80">
        <f t="shared" si="9"/>
        <v>1.6988175822331631E-2</v>
      </c>
    </row>
    <row r="81" spans="1:16" x14ac:dyDescent="0.25">
      <c r="A81" s="2">
        <v>40344</v>
      </c>
      <c r="B81">
        <v>1.3067871999999999E-2</v>
      </c>
      <c r="C81">
        <v>7.567692E-3</v>
      </c>
      <c r="D81">
        <v>2.3222473E-2</v>
      </c>
      <c r="E81">
        <v>8.138223E-3</v>
      </c>
      <c r="F81">
        <v>3.0134670000000001E-3</v>
      </c>
      <c r="G81">
        <v>8.1344700000000002E-4</v>
      </c>
      <c r="H81">
        <v>1.4206139E-2</v>
      </c>
      <c r="I81">
        <v>6.5939240000000001E-3</v>
      </c>
      <c r="J81">
        <v>7.188407E-3</v>
      </c>
      <c r="K81">
        <v>7.567692E-3</v>
      </c>
      <c r="L81">
        <f t="shared" si="5"/>
        <v>1.2994036627005859E-2</v>
      </c>
      <c r="M81">
        <f t="shared" si="6"/>
        <v>7.218240990762799E-3</v>
      </c>
      <c r="N81">
        <f t="shared" si="7"/>
        <v>9.5808492652027198E-3</v>
      </c>
      <c r="O81">
        <f t="shared" si="8"/>
        <v>9.5884612912762596E-3</v>
      </c>
      <c r="P81">
        <f t="shared" si="9"/>
        <v>1.1089178991500914E-2</v>
      </c>
    </row>
    <row r="82" spans="1:16" x14ac:dyDescent="0.25">
      <c r="A82" s="2">
        <v>40345</v>
      </c>
      <c r="B82">
        <v>-3.2634800000000001E-4</v>
      </c>
      <c r="C82">
        <v>5.8783070000000002E-3</v>
      </c>
      <c r="D82">
        <v>-5.5609400000000003E-4</v>
      </c>
      <c r="E82">
        <v>2.565108E-3</v>
      </c>
      <c r="F82">
        <v>3.844798E-3</v>
      </c>
      <c r="G82">
        <v>1.7966871999999998E-2</v>
      </c>
      <c r="H82">
        <v>4.7835500000000001E-3</v>
      </c>
      <c r="I82">
        <v>9.8902699999999996E-4</v>
      </c>
      <c r="J82">
        <v>3.3326110000000001E-3</v>
      </c>
      <c r="K82">
        <v>5.8783070000000002E-3</v>
      </c>
      <c r="L82">
        <f t="shared" si="5"/>
        <v>2.95833874782582E-3</v>
      </c>
      <c r="M82">
        <f t="shared" si="6"/>
        <v>4.8875961210992662E-3</v>
      </c>
      <c r="N82">
        <f t="shared" si="7"/>
        <v>5.7839186957268727E-3</v>
      </c>
      <c r="O82">
        <f t="shared" si="8"/>
        <v>7.5800003368678018E-3</v>
      </c>
      <c r="P82">
        <f t="shared" si="9"/>
        <v>4.8423351898465791E-3</v>
      </c>
    </row>
    <row r="83" spans="1:16" x14ac:dyDescent="0.25">
      <c r="A83" s="2">
        <v>40346</v>
      </c>
      <c r="B83">
        <v>8.6165789999999992E-3</v>
      </c>
      <c r="C83">
        <v>1.079917E-2</v>
      </c>
      <c r="D83">
        <v>1.2821379999999999E-3</v>
      </c>
      <c r="E83">
        <v>5.2567890000000004E-3</v>
      </c>
      <c r="F83">
        <v>3.0500029999999999E-3</v>
      </c>
      <c r="G83">
        <v>-6.7525570000000002E-3</v>
      </c>
      <c r="H83">
        <v>-3.248464E-3</v>
      </c>
      <c r="I83">
        <v>2.4650869999999999E-3</v>
      </c>
      <c r="J83">
        <v>2.6063710000000001E-3</v>
      </c>
      <c r="K83">
        <v>1.079917E-2</v>
      </c>
      <c r="L83">
        <f t="shared" si="5"/>
        <v>5.0525533561669115E-3</v>
      </c>
      <c r="M83">
        <f t="shared" si="6"/>
        <v>2.8071907798003551E-3</v>
      </c>
      <c r="N83">
        <f t="shared" si="7"/>
        <v>4.024352646690715E-3</v>
      </c>
      <c r="O83">
        <f t="shared" si="8"/>
        <v>3.0591219365545654E-3</v>
      </c>
      <c r="P83">
        <f t="shared" si="9"/>
        <v>5.4266393890468022E-3</v>
      </c>
    </row>
    <row r="84" spans="1:16" x14ac:dyDescent="0.25">
      <c r="A84" s="2">
        <v>40347</v>
      </c>
      <c r="B84">
        <v>2.51849E-3</v>
      </c>
      <c r="C84">
        <v>6.8365769999999999E-3</v>
      </c>
      <c r="D84">
        <v>1.3162899999999999E-3</v>
      </c>
      <c r="E84">
        <v>-1.054618E-3</v>
      </c>
      <c r="F84">
        <v>-5.9021200000000001E-4</v>
      </c>
      <c r="G84">
        <v>-4.3812199999999999E-4</v>
      </c>
      <c r="H84">
        <v>-1.59716E-3</v>
      </c>
      <c r="I84">
        <v>2.21193E-3</v>
      </c>
      <c r="J84">
        <v>2.1347839999999998E-3</v>
      </c>
      <c r="K84">
        <v>6.8365769999999999E-3</v>
      </c>
      <c r="L84">
        <f t="shared" si="5"/>
        <v>6.9758426597374083E-3</v>
      </c>
      <c r="M84">
        <f t="shared" si="6"/>
        <v>2.3699784325983452E-3</v>
      </c>
      <c r="N84">
        <f t="shared" si="7"/>
        <v>3.9551349360919643E-3</v>
      </c>
      <c r="O84">
        <f t="shared" si="8"/>
        <v>2.4252458185040886E-3</v>
      </c>
      <c r="P84">
        <f t="shared" si="9"/>
        <v>5.2777124647242334E-3</v>
      </c>
    </row>
    <row r="85" spans="1:16" x14ac:dyDescent="0.25">
      <c r="A85" s="2">
        <v>40350</v>
      </c>
      <c r="B85">
        <v>4.2464679999999998E-3</v>
      </c>
      <c r="C85">
        <v>8.1935859999999992E-3</v>
      </c>
      <c r="D85">
        <v>-3.8642450000000001E-3</v>
      </c>
      <c r="E85">
        <v>1.2148879E-2</v>
      </c>
      <c r="F85">
        <v>9.1565489999999999E-3</v>
      </c>
      <c r="G85">
        <v>2.4020296E-2</v>
      </c>
      <c r="H85">
        <v>6.0495130000000003E-3</v>
      </c>
      <c r="I85">
        <v>9.9561130000000008E-3</v>
      </c>
      <c r="J85">
        <v>1.7326939E-2</v>
      </c>
      <c r="K85">
        <v>8.1935859999999992E-3</v>
      </c>
      <c r="L85">
        <f t="shared" si="5"/>
        <v>2.2629176040473195E-2</v>
      </c>
      <c r="M85">
        <f t="shared" si="6"/>
        <v>8.9577195242731555E-3</v>
      </c>
      <c r="N85">
        <f t="shared" si="7"/>
        <v>2.1792535655907053E-2</v>
      </c>
      <c r="O85">
        <f t="shared" si="8"/>
        <v>1.8349939990282157E-2</v>
      </c>
      <c r="P85">
        <f t="shared" si="9"/>
        <v>2.3044068604144086E-2</v>
      </c>
    </row>
    <row r="86" spans="1:16" x14ac:dyDescent="0.25">
      <c r="A86" s="2">
        <v>40351</v>
      </c>
      <c r="B86">
        <v>-4.728047E-3</v>
      </c>
      <c r="C86">
        <v>-1.1254900999999999E-2</v>
      </c>
      <c r="D86">
        <v>-1.6201322000000001E-2</v>
      </c>
      <c r="E86">
        <v>-3.8099039999999998E-3</v>
      </c>
      <c r="F86">
        <v>-9.8805100000000003E-3</v>
      </c>
      <c r="G86">
        <v>-1.2296417E-2</v>
      </c>
      <c r="H86">
        <v>-2.7769200000000001E-4</v>
      </c>
      <c r="I86">
        <v>-7.9609629999999997E-3</v>
      </c>
      <c r="J86">
        <v>-6.9127939999999999E-3</v>
      </c>
      <c r="K86">
        <v>-1.1254900999999999E-2</v>
      </c>
      <c r="L86">
        <f t="shared" si="5"/>
        <v>-1.3050289947963725E-2</v>
      </c>
      <c r="M86">
        <f t="shared" si="6"/>
        <v>-2.5959281153443863E-3</v>
      </c>
      <c r="N86">
        <f t="shared" si="7"/>
        <v>-9.843282386987208E-3</v>
      </c>
      <c r="O86">
        <f t="shared" si="8"/>
        <v>-8.8104118998927686E-3</v>
      </c>
      <c r="P86">
        <f t="shared" si="9"/>
        <v>-1.3621416925788794E-2</v>
      </c>
    </row>
    <row r="87" spans="1:16" x14ac:dyDescent="0.25">
      <c r="A87" s="2">
        <v>40352</v>
      </c>
      <c r="B87">
        <v>-1.9495736999999999E-2</v>
      </c>
      <c r="C87">
        <v>-2.2131100000000001E-2</v>
      </c>
      <c r="D87">
        <v>-2.9899219999999999E-3</v>
      </c>
      <c r="E87">
        <v>-1.0345174E-2</v>
      </c>
      <c r="F87">
        <v>-1.3141046E-2</v>
      </c>
      <c r="G87">
        <v>-1.8885012E-2</v>
      </c>
      <c r="H87">
        <v>5.3704419999999996E-3</v>
      </c>
      <c r="I87">
        <v>-1.3176245E-2</v>
      </c>
      <c r="J87">
        <v>-2.0683450000000001E-3</v>
      </c>
      <c r="K87">
        <v>-2.2131100000000001E-2</v>
      </c>
      <c r="L87">
        <f t="shared" si="5"/>
        <v>-1.1841053330566117E-2</v>
      </c>
      <c r="M87">
        <f t="shared" si="6"/>
        <v>-2.8459466422741911E-3</v>
      </c>
      <c r="N87">
        <f t="shared" si="7"/>
        <v>-1.0086958990477485E-2</v>
      </c>
      <c r="O87">
        <f t="shared" si="8"/>
        <v>-1.0319416355721259E-2</v>
      </c>
      <c r="P87">
        <f t="shared" si="9"/>
        <v>-1.2117236336612091E-2</v>
      </c>
    </row>
    <row r="88" spans="1:16" x14ac:dyDescent="0.25">
      <c r="A88" s="2">
        <v>40353</v>
      </c>
      <c r="B88">
        <v>1.66157E-4</v>
      </c>
      <c r="C88">
        <v>-8.0241830000000007E-3</v>
      </c>
      <c r="D88">
        <v>-1.6946192999999998E-2</v>
      </c>
      <c r="E88">
        <v>-1.4454797E-2</v>
      </c>
      <c r="F88">
        <v>-1.5235683999999999E-2</v>
      </c>
      <c r="G88">
        <v>4.6745800000000002E-4</v>
      </c>
      <c r="H88">
        <v>-1.8947559999999999E-2</v>
      </c>
      <c r="I88">
        <v>-1.7800733999999999E-2</v>
      </c>
      <c r="J88">
        <v>-6.7167060000000002E-3</v>
      </c>
      <c r="K88">
        <v>-8.0241830000000007E-3</v>
      </c>
      <c r="L88">
        <f t="shared" si="5"/>
        <v>-1.4050353815681727E-2</v>
      </c>
      <c r="M88">
        <f t="shared" si="6"/>
        <v>-5.4740163888984186E-3</v>
      </c>
      <c r="N88">
        <f t="shared" si="7"/>
        <v>-1.2587266150445569E-2</v>
      </c>
      <c r="O88">
        <f t="shared" si="8"/>
        <v>-1.1532143075230651E-2</v>
      </c>
      <c r="P88">
        <f t="shared" si="9"/>
        <v>-1.2730840522110013E-2</v>
      </c>
    </row>
    <row r="89" spans="1:16" x14ac:dyDescent="0.25">
      <c r="A89" s="2">
        <v>40354</v>
      </c>
      <c r="B89">
        <v>-9.2020100000000005E-4</v>
      </c>
      <c r="C89">
        <v>-3.5908419999999999E-3</v>
      </c>
      <c r="D89">
        <v>2.8552180000000001E-3</v>
      </c>
      <c r="E89">
        <v>-7.3658150000000004E-3</v>
      </c>
      <c r="F89">
        <v>-1.0584820999999999E-2</v>
      </c>
      <c r="G89">
        <v>-1.9410937E-2</v>
      </c>
      <c r="H89">
        <v>1.3777681999999999E-2</v>
      </c>
      <c r="I89">
        <v>-7.9535170000000002E-3</v>
      </c>
      <c r="J89">
        <v>-2.3107319999999998E-3</v>
      </c>
      <c r="K89">
        <v>-3.5908419999999999E-3</v>
      </c>
      <c r="L89">
        <f t="shared" si="5"/>
        <v>-9.1245295305093215E-3</v>
      </c>
      <c r="M89">
        <f t="shared" si="6"/>
        <v>-8.9535884065238902E-4</v>
      </c>
      <c r="N89">
        <f t="shared" si="7"/>
        <v>-7.9737439840260084E-3</v>
      </c>
      <c r="O89">
        <f t="shared" si="8"/>
        <v>-7.8129584795146485E-3</v>
      </c>
      <c r="P89">
        <f t="shared" si="9"/>
        <v>-1.0812731000220333E-2</v>
      </c>
    </row>
    <row r="90" spans="1:16" x14ac:dyDescent="0.25">
      <c r="A90" s="2">
        <v>40357</v>
      </c>
      <c r="B90">
        <v>1.0131759000000001E-2</v>
      </c>
      <c r="C90">
        <v>1.6951145000000001E-2</v>
      </c>
      <c r="D90">
        <v>-2.0359509999999998E-3</v>
      </c>
      <c r="E90">
        <v>1.416793E-2</v>
      </c>
      <c r="F90">
        <v>4.9811329999999996E-3</v>
      </c>
      <c r="G90">
        <v>-4.4814090000000004E-3</v>
      </c>
      <c r="H90">
        <v>-9.2833619999999999E-3</v>
      </c>
      <c r="I90">
        <v>9.1249199999999999E-3</v>
      </c>
      <c r="J90">
        <v>5.3970999999999999E-4</v>
      </c>
      <c r="K90">
        <v>1.6951145000000001E-2</v>
      </c>
      <c r="L90">
        <f t="shared" si="5"/>
        <v>1.0043493234942226E-2</v>
      </c>
      <c r="M90">
        <f t="shared" si="6"/>
        <v>3.8978344421723935E-3</v>
      </c>
      <c r="N90">
        <f t="shared" si="7"/>
        <v>6.8425815847208641E-3</v>
      </c>
      <c r="O90">
        <f t="shared" si="8"/>
        <v>6.0098919712669981E-3</v>
      </c>
      <c r="P90">
        <f t="shared" si="9"/>
        <v>8.5442292607090745E-3</v>
      </c>
    </row>
    <row r="91" spans="1:16" x14ac:dyDescent="0.25">
      <c r="A91" s="2">
        <v>40358</v>
      </c>
      <c r="B91">
        <v>-2.1815768999999999E-2</v>
      </c>
      <c r="C91">
        <v>-2.8443062000000002E-2</v>
      </c>
      <c r="D91">
        <v>-3.1508270999999997E-2</v>
      </c>
      <c r="E91">
        <v>-3.3893039E-2</v>
      </c>
      <c r="F91">
        <v>-3.1547093999999998E-2</v>
      </c>
      <c r="G91">
        <v>-1.2797734999999999E-2</v>
      </c>
      <c r="H91">
        <v>-3.5613060000000002E-2</v>
      </c>
      <c r="I91">
        <v>-3.4902984999999997E-2</v>
      </c>
      <c r="J91">
        <v>-2.1032886000000001E-2</v>
      </c>
      <c r="K91">
        <v>-2.8443062000000002E-2</v>
      </c>
      <c r="L91">
        <f t="shared" si="5"/>
        <v>-3.5704350943575269E-2</v>
      </c>
      <c r="M91">
        <f t="shared" si="6"/>
        <v>-1.5166430609027436E-2</v>
      </c>
      <c r="N91">
        <f t="shared" si="7"/>
        <v>-3.3314005607385351E-2</v>
      </c>
      <c r="O91">
        <f t="shared" si="8"/>
        <v>-3.0758688123174463E-2</v>
      </c>
      <c r="P91">
        <f t="shared" si="9"/>
        <v>-3.4574248287134277E-2</v>
      </c>
    </row>
    <row r="92" spans="1:16" x14ac:dyDescent="0.25">
      <c r="A92" s="2">
        <v>40359</v>
      </c>
      <c r="B92">
        <v>-6.8304430000000003E-3</v>
      </c>
      <c r="C92">
        <v>-6.1949509999999998E-3</v>
      </c>
      <c r="D92">
        <v>-1.0164425E-2</v>
      </c>
      <c r="E92">
        <v>2.2638889999999998E-3</v>
      </c>
      <c r="F92">
        <v>5.4927700000000003E-4</v>
      </c>
      <c r="G92">
        <v>-1.9842039999999998E-2</v>
      </c>
      <c r="H92">
        <v>-1.6955350000000001E-2</v>
      </c>
      <c r="I92">
        <v>2.201934E-3</v>
      </c>
      <c r="J92">
        <v>-6.9621819999999999E-3</v>
      </c>
      <c r="K92">
        <v>-6.1949509999999998E-3</v>
      </c>
      <c r="L92">
        <f t="shared" si="5"/>
        <v>-1.5910782295710233E-3</v>
      </c>
      <c r="M92">
        <f t="shared" si="6"/>
        <v>-1.4254775173447661E-3</v>
      </c>
      <c r="N92">
        <f t="shared" si="7"/>
        <v>-3.9358301561321614E-3</v>
      </c>
      <c r="O92">
        <f t="shared" si="8"/>
        <v>-5.0500541494199998E-3</v>
      </c>
      <c r="P92">
        <f t="shared" si="9"/>
        <v>-2.5620833721782862E-3</v>
      </c>
    </row>
    <row r="93" spans="1:16" x14ac:dyDescent="0.25">
      <c r="A93" s="2">
        <v>40360</v>
      </c>
      <c r="B93">
        <v>-5.5805129999999996E-3</v>
      </c>
      <c r="C93">
        <v>-7.6776190000000001E-3</v>
      </c>
      <c r="D93">
        <v>-3.2457459999999999E-3</v>
      </c>
      <c r="E93">
        <v>-1.8285286000000001E-2</v>
      </c>
      <c r="F93">
        <v>-2.2854729000000001E-2</v>
      </c>
      <c r="G93">
        <v>-2.057115E-2</v>
      </c>
      <c r="H93">
        <v>4.9111190000000002E-3</v>
      </c>
      <c r="I93">
        <v>-2.2401698000000001E-2</v>
      </c>
      <c r="J93">
        <v>-6.8196749999999999E-3</v>
      </c>
      <c r="K93">
        <v>-7.6776190000000001E-3</v>
      </c>
      <c r="L93">
        <f t="shared" si="5"/>
        <v>-2.1469577206802388E-2</v>
      </c>
      <c r="M93">
        <f t="shared" si="6"/>
        <v>-6.0684934059850124E-3</v>
      </c>
      <c r="N93">
        <f t="shared" si="7"/>
        <v>-1.8900317303897123E-2</v>
      </c>
      <c r="O93">
        <f t="shared" si="8"/>
        <v>-1.7498686547503063E-2</v>
      </c>
      <c r="P93">
        <f t="shared" si="9"/>
        <v>-2.2096404325473107E-2</v>
      </c>
    </row>
    <row r="94" spans="1:16" x14ac:dyDescent="0.25">
      <c r="A94" s="2">
        <v>40361</v>
      </c>
      <c r="B94">
        <v>2.0009066999999998E-2</v>
      </c>
      <c r="C94">
        <v>2.6056593999999999E-2</v>
      </c>
      <c r="D94">
        <v>-4.6732930000000002E-3</v>
      </c>
      <c r="E94">
        <v>-3.9823580000000001E-3</v>
      </c>
      <c r="F94">
        <v>6.6985600000000001E-3</v>
      </c>
      <c r="G94">
        <v>1.31664E-3</v>
      </c>
      <c r="H94">
        <v>3.1630629999999998E-3</v>
      </c>
      <c r="I94">
        <v>3.5605789999999999E-3</v>
      </c>
      <c r="J94">
        <v>5.1391700000000002E-4</v>
      </c>
      <c r="K94">
        <v>2.6056593999999999E-2</v>
      </c>
      <c r="L94">
        <f t="shared" si="5"/>
        <v>1.5665573528576939E-3</v>
      </c>
      <c r="M94">
        <f t="shared" si="6"/>
        <v>2.7313759193568305E-3</v>
      </c>
      <c r="N94">
        <f t="shared" si="7"/>
        <v>3.2015018345669384E-3</v>
      </c>
      <c r="O94">
        <f t="shared" si="8"/>
        <v>2.6351323981737779E-3</v>
      </c>
      <c r="P94">
        <f t="shared" si="9"/>
        <v>2.6875746211924081E-3</v>
      </c>
    </row>
    <row r="95" spans="1:16" x14ac:dyDescent="0.25">
      <c r="A95" s="2">
        <v>40364</v>
      </c>
      <c r="B95">
        <v>1.419823E-3</v>
      </c>
      <c r="C95">
        <v>7.3752330000000001E-3</v>
      </c>
      <c r="D95">
        <v>5.3446860000000004E-3</v>
      </c>
      <c r="E95">
        <v>-3.0814549999999999E-3</v>
      </c>
      <c r="F95">
        <v>-3.022276E-3</v>
      </c>
      <c r="G95">
        <v>6.8292989999999996E-3</v>
      </c>
      <c r="H95">
        <v>-9.2400179999999991E-3</v>
      </c>
      <c r="I95">
        <v>-3.7385930000000001E-3</v>
      </c>
      <c r="J95">
        <v>-9.2697400000000001E-4</v>
      </c>
      <c r="K95">
        <v>7.3752330000000001E-3</v>
      </c>
      <c r="L95">
        <f t="shared" si="5"/>
        <v>1.8482466870600978E-3</v>
      </c>
      <c r="M95">
        <f t="shared" si="6"/>
        <v>1.3624396661096787E-3</v>
      </c>
      <c r="N95">
        <f t="shared" si="7"/>
        <v>-2.3616333549264209E-4</v>
      </c>
      <c r="O95">
        <f t="shared" si="8"/>
        <v>8.5672747437479991E-4</v>
      </c>
      <c r="P95">
        <f t="shared" si="9"/>
        <v>2.0432249486838777E-3</v>
      </c>
    </row>
    <row r="96" spans="1:16" x14ac:dyDescent="0.25">
      <c r="A96" s="2">
        <v>40365</v>
      </c>
      <c r="B96">
        <v>1.9062249E-2</v>
      </c>
      <c r="C96">
        <v>2.2922606000000002E-2</v>
      </c>
      <c r="D96">
        <v>0</v>
      </c>
      <c r="E96">
        <v>2.1226974999999999E-2</v>
      </c>
      <c r="F96">
        <v>2.8913491999999999E-2</v>
      </c>
      <c r="G96">
        <v>7.6604179999999996E-3</v>
      </c>
      <c r="H96">
        <v>1.9523926E-2</v>
      </c>
      <c r="I96">
        <v>2.6362864E-2</v>
      </c>
      <c r="J96">
        <v>1.5586943000000001E-2</v>
      </c>
      <c r="K96">
        <v>2.2922606000000002E-2</v>
      </c>
      <c r="L96">
        <f t="shared" si="5"/>
        <v>2.4931971999910145E-2</v>
      </c>
      <c r="M96">
        <f t="shared" si="6"/>
        <v>1.2957279850883387E-2</v>
      </c>
      <c r="N96">
        <f t="shared" si="7"/>
        <v>2.6852496535489673E-2</v>
      </c>
      <c r="O96">
        <f t="shared" si="8"/>
        <v>2.3293126403449632E-2</v>
      </c>
      <c r="P96">
        <f t="shared" si="9"/>
        <v>2.6600655731205035E-2</v>
      </c>
    </row>
    <row r="97" spans="1:16" x14ac:dyDescent="0.25">
      <c r="A97" s="2">
        <v>40366</v>
      </c>
      <c r="B97">
        <v>1.9016399999999999E-4</v>
      </c>
      <c r="C97">
        <v>-7.1371900000000003E-4</v>
      </c>
      <c r="D97">
        <v>3.0850062000000001E-2</v>
      </c>
      <c r="E97">
        <v>8.6946579999999992E-3</v>
      </c>
      <c r="F97">
        <v>9.9802429999999998E-3</v>
      </c>
      <c r="G97">
        <v>-6.27255E-3</v>
      </c>
      <c r="H97">
        <v>1.9450309999999998E-2</v>
      </c>
      <c r="I97">
        <v>1.2938214999999999E-2</v>
      </c>
      <c r="J97">
        <v>9.8697900000000002E-4</v>
      </c>
      <c r="K97">
        <v>-7.1371900000000003E-4</v>
      </c>
      <c r="L97">
        <f t="shared" si="5"/>
        <v>1.0259143340882321E-2</v>
      </c>
      <c r="M97">
        <f t="shared" si="6"/>
        <v>8.1965557154416134E-3</v>
      </c>
      <c r="N97">
        <f t="shared" si="7"/>
        <v>7.3102402280521162E-3</v>
      </c>
      <c r="O97">
        <f t="shared" si="8"/>
        <v>9.1446624781635448E-3</v>
      </c>
      <c r="P97">
        <f t="shared" si="9"/>
        <v>8.1611020681457858E-3</v>
      </c>
    </row>
    <row r="98" spans="1:16" x14ac:dyDescent="0.25">
      <c r="A98" s="2">
        <v>40367</v>
      </c>
      <c r="B98">
        <v>9.5851470000000005E-3</v>
      </c>
      <c r="C98">
        <v>1.5335579E-2</v>
      </c>
      <c r="D98">
        <v>9.3686729999999992E-3</v>
      </c>
      <c r="E98">
        <v>7.1164499999999999E-3</v>
      </c>
      <c r="F98">
        <v>1.7924849999999999E-2</v>
      </c>
      <c r="G98">
        <v>2.7223014E-2</v>
      </c>
      <c r="H98">
        <v>3.0293490000000002E-3</v>
      </c>
      <c r="I98">
        <v>1.2232775E-2</v>
      </c>
      <c r="J98">
        <v>7.5051029999999999E-3</v>
      </c>
      <c r="K98">
        <v>1.5335579E-2</v>
      </c>
      <c r="L98">
        <f t="shared" si="5"/>
        <v>1.5574754839323071E-2</v>
      </c>
      <c r="M98">
        <f t="shared" si="6"/>
        <v>9.34160263595607E-3</v>
      </c>
      <c r="N98">
        <f t="shared" si="7"/>
        <v>1.6217337204288064E-2</v>
      </c>
      <c r="O98">
        <f t="shared" si="8"/>
        <v>1.7248073426264228E-2</v>
      </c>
      <c r="P98">
        <f t="shared" si="9"/>
        <v>1.8433592211564449E-2</v>
      </c>
    </row>
    <row r="99" spans="1:16" x14ac:dyDescent="0.25">
      <c r="A99" s="2">
        <v>40368</v>
      </c>
      <c r="B99">
        <v>-3.4008060000000001E-3</v>
      </c>
      <c r="C99">
        <v>-2.3665359999999998E-3</v>
      </c>
      <c r="D99">
        <v>7.1780999999999998E-3</v>
      </c>
      <c r="E99">
        <v>4.8889019999999997E-3</v>
      </c>
      <c r="F99">
        <v>5.352412E-3</v>
      </c>
      <c r="G99">
        <v>5.185917E-3</v>
      </c>
      <c r="H99">
        <v>-8.1622780000000002E-3</v>
      </c>
      <c r="I99">
        <v>5.9062619999999998E-3</v>
      </c>
      <c r="J99">
        <v>8.6059120000000003E-3</v>
      </c>
      <c r="K99">
        <v>-2.3665359999999998E-3</v>
      </c>
      <c r="L99">
        <f t="shared" si="5"/>
        <v>1.7139679377233298E-2</v>
      </c>
      <c r="M99">
        <f t="shared" si="6"/>
        <v>4.8746536413826775E-3</v>
      </c>
      <c r="N99">
        <f t="shared" si="7"/>
        <v>1.2005475870566662E-2</v>
      </c>
      <c r="O99">
        <f t="shared" si="8"/>
        <v>9.1180916356150936E-3</v>
      </c>
      <c r="P99">
        <f t="shared" si="9"/>
        <v>1.6657196877528833E-2</v>
      </c>
    </row>
    <row r="100" spans="1:16" x14ac:dyDescent="0.25">
      <c r="A100" s="2">
        <v>40371</v>
      </c>
      <c r="B100">
        <v>7.3036810000000002E-3</v>
      </c>
      <c r="C100">
        <v>2.454421E-3</v>
      </c>
      <c r="D100">
        <v>7.3259699999999998E-4</v>
      </c>
      <c r="E100">
        <v>1.9683050000000001E-3</v>
      </c>
      <c r="F100">
        <v>6.6214480000000003E-3</v>
      </c>
      <c r="G100">
        <v>-3.8895319999999998E-3</v>
      </c>
      <c r="H100">
        <v>0</v>
      </c>
      <c r="I100">
        <v>3.9203989999999998E-3</v>
      </c>
      <c r="J100">
        <v>2.2280339999999998E-3</v>
      </c>
      <c r="K100">
        <v>2.454421E-3</v>
      </c>
      <c r="L100">
        <f t="shared" si="5"/>
        <v>4.2945220705376784E-3</v>
      </c>
      <c r="M100">
        <f t="shared" si="6"/>
        <v>3.2855093686117386E-3</v>
      </c>
      <c r="N100">
        <f t="shared" si="7"/>
        <v>4.525286641168259E-3</v>
      </c>
      <c r="O100">
        <f t="shared" si="8"/>
        <v>3.7461885634528019E-3</v>
      </c>
      <c r="P100">
        <f t="shared" si="9"/>
        <v>5.4337141348899543E-3</v>
      </c>
    </row>
    <row r="101" spans="1:16" x14ac:dyDescent="0.25">
      <c r="A101" s="2">
        <v>40372</v>
      </c>
      <c r="B101">
        <v>1.2237341000000001E-2</v>
      </c>
      <c r="C101">
        <v>1.2557159E-2</v>
      </c>
      <c r="D101">
        <v>1.5261854E-2</v>
      </c>
      <c r="E101">
        <v>1.8575204000000001E-2</v>
      </c>
      <c r="F101">
        <v>1.9927849000000001E-2</v>
      </c>
      <c r="G101">
        <v>-1.140142E-3</v>
      </c>
      <c r="H101">
        <v>1.1465154E-2</v>
      </c>
      <c r="I101">
        <v>1.8808495000000001E-2</v>
      </c>
      <c r="J101">
        <v>3.9105110000000002E-3</v>
      </c>
      <c r="K101">
        <v>1.2557159E-2</v>
      </c>
      <c r="L101">
        <f t="shared" si="5"/>
        <v>1.378492958705691E-2</v>
      </c>
      <c r="M101">
        <f t="shared" si="6"/>
        <v>9.7703838384237251E-3</v>
      </c>
      <c r="N101">
        <f t="shared" si="7"/>
        <v>1.3775674116238867E-2</v>
      </c>
      <c r="O101">
        <f t="shared" si="8"/>
        <v>1.4708868170650003E-2</v>
      </c>
      <c r="P101">
        <f t="shared" si="9"/>
        <v>1.4523130046785099E-2</v>
      </c>
    </row>
    <row r="102" spans="1:16" x14ac:dyDescent="0.25">
      <c r="A102" s="2">
        <v>40373</v>
      </c>
      <c r="B102">
        <v>3.8874599999999998E-4</v>
      </c>
      <c r="C102">
        <v>9.6638430000000001E-3</v>
      </c>
      <c r="D102">
        <v>-1.55215E-4</v>
      </c>
      <c r="E102">
        <v>3.0046249999999999E-3</v>
      </c>
      <c r="F102">
        <v>-3.3255770000000001E-3</v>
      </c>
      <c r="G102">
        <v>2.6693465999999999E-2</v>
      </c>
      <c r="H102">
        <v>-3.2556159999999998E-3</v>
      </c>
      <c r="I102" s="1">
        <v>-7.34394E-5</v>
      </c>
      <c r="J102">
        <v>3.6162719999999998E-3</v>
      </c>
      <c r="K102">
        <v>9.6638430000000001E-3</v>
      </c>
      <c r="L102">
        <f t="shared" si="5"/>
        <v>8.4563432719582231E-3</v>
      </c>
      <c r="M102">
        <f t="shared" si="6"/>
        <v>4.3918707709823691E-3</v>
      </c>
      <c r="N102">
        <f t="shared" si="7"/>
        <v>6.9081540717043565E-3</v>
      </c>
      <c r="O102">
        <f t="shared" si="8"/>
        <v>8.1956776714363667E-3</v>
      </c>
      <c r="P102">
        <f t="shared" si="9"/>
        <v>7.4882771097058813E-3</v>
      </c>
    </row>
    <row r="103" spans="1:16" x14ac:dyDescent="0.25">
      <c r="A103" s="2">
        <v>40374</v>
      </c>
      <c r="B103">
        <v>-1.0542271000000001E-2</v>
      </c>
      <c r="C103">
        <v>-7.8020019999999997E-3</v>
      </c>
      <c r="D103">
        <v>1.195446E-3</v>
      </c>
      <c r="E103">
        <v>-9.7742360000000004E-3</v>
      </c>
      <c r="F103">
        <v>-8.0651760000000003E-3</v>
      </c>
      <c r="G103">
        <v>-1.1263534E-2</v>
      </c>
      <c r="H103">
        <v>1.5752E-4</v>
      </c>
      <c r="I103">
        <v>-9.2170970000000005E-3</v>
      </c>
      <c r="J103">
        <v>-4.8701609999999996E-3</v>
      </c>
      <c r="K103">
        <v>-7.8020019999999997E-3</v>
      </c>
      <c r="L103">
        <f t="shared" si="5"/>
        <v>-9.683868877131999E-3</v>
      </c>
      <c r="M103">
        <f t="shared" si="6"/>
        <v>-1.7325783967398994E-3</v>
      </c>
      <c r="N103">
        <f t="shared" si="7"/>
        <v>-8.8572738382759961E-3</v>
      </c>
      <c r="O103">
        <f t="shared" si="8"/>
        <v>-7.7471430420558334E-3</v>
      </c>
      <c r="P103">
        <f t="shared" si="9"/>
        <v>-9.5920596604019415E-3</v>
      </c>
    </row>
    <row r="104" spans="1:16" x14ac:dyDescent="0.25">
      <c r="A104" s="2">
        <v>40375</v>
      </c>
      <c r="B104">
        <v>6.8324800000000002E-4</v>
      </c>
      <c r="C104">
        <v>4.7438610000000003E-3</v>
      </c>
      <c r="D104">
        <v>-2.9242931999999999E-2</v>
      </c>
      <c r="E104">
        <v>-1.7899298000000001E-2</v>
      </c>
      <c r="F104">
        <v>-1.0105965999999999E-2</v>
      </c>
      <c r="G104">
        <v>-2.9034363000000001E-2</v>
      </c>
      <c r="H104">
        <v>-1.8279429E-2</v>
      </c>
      <c r="I104">
        <v>-1.5674885E-2</v>
      </c>
      <c r="J104">
        <v>-6.4727789999999997E-3</v>
      </c>
      <c r="K104">
        <v>4.7438610000000003E-3</v>
      </c>
      <c r="L104">
        <f t="shared" si="5"/>
        <v>-1.7485161982869122E-2</v>
      </c>
      <c r="M104">
        <f t="shared" si="6"/>
        <v>-8.232589706505854E-3</v>
      </c>
      <c r="N104">
        <f t="shared" si="7"/>
        <v>-1.4645164388416228E-2</v>
      </c>
      <c r="O104">
        <f t="shared" si="8"/>
        <v>-1.775956167423055E-2</v>
      </c>
      <c r="P104">
        <f t="shared" si="9"/>
        <v>-1.533322356546306E-2</v>
      </c>
    </row>
    <row r="105" spans="1:16" x14ac:dyDescent="0.25">
      <c r="A105" s="2">
        <v>40378</v>
      </c>
      <c r="B105">
        <v>6.6481149999999996E-3</v>
      </c>
      <c r="C105">
        <v>1.609521E-3</v>
      </c>
      <c r="D105">
        <v>5.9640739999999998E-3</v>
      </c>
      <c r="E105">
        <v>-5.1720619999999998E-3</v>
      </c>
      <c r="F105">
        <v>-2.056815E-3</v>
      </c>
      <c r="G105">
        <v>-1.1534793999999999E-2</v>
      </c>
      <c r="H105">
        <v>1.5250702E-2</v>
      </c>
      <c r="I105">
        <v>-3.39961E-3</v>
      </c>
      <c r="J105">
        <v>1.05052E-4</v>
      </c>
      <c r="K105">
        <v>1.609521E-3</v>
      </c>
      <c r="L105">
        <f t="shared" si="5"/>
        <v>-5.2799120998189755E-3</v>
      </c>
      <c r="M105">
        <f t="shared" si="6"/>
        <v>1.6734444312776872E-3</v>
      </c>
      <c r="N105">
        <f t="shared" si="7"/>
        <v>-2.9146689186626534E-3</v>
      </c>
      <c r="O105">
        <f t="shared" si="8"/>
        <v>-2.3612889781020269E-3</v>
      </c>
      <c r="P105">
        <f t="shared" si="9"/>
        <v>-5.0478813388697454E-3</v>
      </c>
    </row>
    <row r="106" spans="1:16" x14ac:dyDescent="0.25">
      <c r="A106" s="2">
        <v>40379</v>
      </c>
      <c r="B106">
        <v>1.9490779999999999E-3</v>
      </c>
      <c r="C106">
        <v>4.8897200000000002E-3</v>
      </c>
      <c r="D106">
        <v>1.1351892000000001E-2</v>
      </c>
      <c r="E106">
        <v>-6.950248E-3</v>
      </c>
      <c r="F106">
        <v>-1.7107649999999999E-3</v>
      </c>
      <c r="G106">
        <v>0</v>
      </c>
      <c r="H106">
        <v>1.8253480999999998E-2</v>
      </c>
      <c r="I106">
        <v>-3.2027570000000001E-3</v>
      </c>
      <c r="J106">
        <v>7.196694E-3</v>
      </c>
      <c r="K106">
        <v>4.8897200000000002E-3</v>
      </c>
      <c r="L106">
        <f t="shared" si="5"/>
        <v>2.7229506191643799E-3</v>
      </c>
      <c r="M106">
        <f t="shared" si="6"/>
        <v>3.7014033718444045E-3</v>
      </c>
      <c r="N106">
        <f t="shared" si="7"/>
        <v>3.5408084846877217E-3</v>
      </c>
      <c r="O106">
        <f t="shared" si="8"/>
        <v>2.7432215361484474E-3</v>
      </c>
      <c r="P106">
        <f t="shared" si="9"/>
        <v>2.8830923760741795E-3</v>
      </c>
    </row>
    <row r="107" spans="1:16" x14ac:dyDescent="0.25">
      <c r="A107" s="2">
        <v>40380</v>
      </c>
      <c r="B107">
        <v>2.1523653E-2</v>
      </c>
      <c r="C107">
        <v>2.7040453999999998E-2</v>
      </c>
      <c r="D107">
        <v>-1.2902686E-2</v>
      </c>
      <c r="E107">
        <v>3.8284460000000001E-3</v>
      </c>
      <c r="F107">
        <v>1.4506585000000001E-2</v>
      </c>
      <c r="G107">
        <v>-2.3284E-3</v>
      </c>
      <c r="H107">
        <v>2.1715499999999999E-4</v>
      </c>
      <c r="I107">
        <v>9.4453430000000001E-3</v>
      </c>
      <c r="J107">
        <v>8.8801239999999997E-3</v>
      </c>
      <c r="K107">
        <v>2.7040453999999998E-2</v>
      </c>
      <c r="L107">
        <f t="shared" si="5"/>
        <v>1.0927926729248517E-2</v>
      </c>
      <c r="M107">
        <f t="shared" si="6"/>
        <v>4.5944404463023605E-3</v>
      </c>
      <c r="N107">
        <f t="shared" si="7"/>
        <v>1.2512209411213161E-2</v>
      </c>
      <c r="O107">
        <f t="shared" si="8"/>
        <v>8.275130456840623E-3</v>
      </c>
      <c r="P107">
        <f t="shared" si="9"/>
        <v>1.3319590900646829E-2</v>
      </c>
    </row>
    <row r="108" spans="1:16" x14ac:dyDescent="0.25">
      <c r="A108" s="2">
        <v>40381</v>
      </c>
      <c r="B108">
        <v>7.114932E-3</v>
      </c>
      <c r="C108">
        <v>8.759167E-3</v>
      </c>
      <c r="D108">
        <v>2.2263616E-2</v>
      </c>
      <c r="E108">
        <v>2.5019995E-2</v>
      </c>
      <c r="F108">
        <v>1.8844827000000001E-2</v>
      </c>
      <c r="G108">
        <v>-6.2649840000000004E-3</v>
      </c>
      <c r="H108">
        <v>1.9520681000000002E-2</v>
      </c>
      <c r="I108">
        <v>2.1510898000000001E-2</v>
      </c>
      <c r="J108">
        <v>6.1886299999999997E-3</v>
      </c>
      <c r="K108">
        <v>8.759167E-3</v>
      </c>
      <c r="L108">
        <f t="shared" si="5"/>
        <v>1.7208763842590766E-2</v>
      </c>
      <c r="M108">
        <f t="shared" si="6"/>
        <v>1.1469175002669769E-2</v>
      </c>
      <c r="N108">
        <f t="shared" si="7"/>
        <v>1.605543452533597E-2</v>
      </c>
      <c r="O108">
        <f t="shared" si="8"/>
        <v>1.6794963599058511E-2</v>
      </c>
      <c r="P108">
        <f t="shared" si="9"/>
        <v>1.6303405122956145E-2</v>
      </c>
    </row>
    <row r="109" spans="1:16" x14ac:dyDescent="0.25">
      <c r="A109" s="2">
        <v>40382</v>
      </c>
      <c r="B109">
        <v>-1.0400281000000001E-2</v>
      </c>
      <c r="C109">
        <v>-6.5019730000000003E-3</v>
      </c>
      <c r="D109">
        <v>8.1864290000000003E-3</v>
      </c>
      <c r="E109">
        <v>3.9306250000000001E-3</v>
      </c>
      <c r="F109">
        <v>-2.2585300000000001E-4</v>
      </c>
      <c r="G109">
        <v>2.2527417000000001E-2</v>
      </c>
      <c r="H109">
        <v>8.7074930000000002E-3</v>
      </c>
      <c r="I109">
        <v>9.4103999999999998E-4</v>
      </c>
      <c r="J109">
        <v>7.3364149999999998E-3</v>
      </c>
      <c r="K109">
        <v>-6.5019730000000003E-3</v>
      </c>
      <c r="L109">
        <f t="shared" si="5"/>
        <v>9.1880315033085035E-3</v>
      </c>
      <c r="M109">
        <f t="shared" si="6"/>
        <v>6.2799087607701681E-3</v>
      </c>
      <c r="N109">
        <f t="shared" si="7"/>
        <v>9.0976206990333458E-3</v>
      </c>
      <c r="O109">
        <f t="shared" si="8"/>
        <v>1.0300973455601985E-2</v>
      </c>
      <c r="P109">
        <f t="shared" si="9"/>
        <v>9.091549148140865E-3</v>
      </c>
    </row>
    <row r="110" spans="1:16" x14ac:dyDescent="0.25">
      <c r="A110" s="2">
        <v>40385</v>
      </c>
      <c r="B110">
        <v>3.5040000000000002E-3</v>
      </c>
      <c r="C110">
        <v>2.976954E-3</v>
      </c>
      <c r="D110">
        <v>1.1137931E-2</v>
      </c>
      <c r="E110">
        <v>4.5095159999999999E-3</v>
      </c>
      <c r="F110">
        <v>7.2207900000000004E-3</v>
      </c>
      <c r="G110">
        <v>7.6790929999999997E-3</v>
      </c>
      <c r="H110">
        <v>1.8076920000000001E-3</v>
      </c>
      <c r="I110">
        <v>6.50243E-3</v>
      </c>
      <c r="J110">
        <v>2.3044609999999998E-3</v>
      </c>
      <c r="K110">
        <v>2.976954E-3</v>
      </c>
      <c r="L110">
        <f t="shared" si="5"/>
        <v>8.7297843639907724E-3</v>
      </c>
      <c r="M110">
        <f t="shared" si="6"/>
        <v>5.5801273014314708E-3</v>
      </c>
      <c r="N110">
        <f t="shared" si="7"/>
        <v>7.2300415188344871E-3</v>
      </c>
      <c r="O110">
        <f t="shared" si="8"/>
        <v>8.0980307573206012E-3</v>
      </c>
      <c r="P110">
        <f t="shared" si="9"/>
        <v>8.9380483771891155E-3</v>
      </c>
    </row>
    <row r="111" spans="1:16" x14ac:dyDescent="0.25">
      <c r="A111" s="2">
        <v>40386</v>
      </c>
      <c r="B111">
        <v>1.3706542E-2</v>
      </c>
      <c r="C111">
        <v>1.8680978000000001E-2</v>
      </c>
      <c r="D111">
        <v>-1.0498689999999999E-3</v>
      </c>
      <c r="E111">
        <v>2.1126449999999998E-3</v>
      </c>
      <c r="F111">
        <v>2.724696E-3</v>
      </c>
      <c r="G111">
        <v>-7.16823E-4</v>
      </c>
      <c r="H111">
        <v>3.4706350000000001E-3</v>
      </c>
      <c r="I111">
        <v>5.5024920000000003E-3</v>
      </c>
      <c r="J111">
        <v>2.0069689999999999E-3</v>
      </c>
      <c r="K111">
        <v>1.8680978000000001E-2</v>
      </c>
      <c r="L111">
        <f t="shared" si="5"/>
        <v>6.7341085587763628E-3</v>
      </c>
      <c r="M111">
        <f t="shared" si="6"/>
        <v>3.4726806642640454E-3</v>
      </c>
      <c r="N111">
        <f t="shared" si="7"/>
        <v>5.2928120969690622E-3</v>
      </c>
      <c r="O111">
        <f t="shared" si="8"/>
        <v>4.0675825616242681E-3</v>
      </c>
      <c r="P111">
        <f t="shared" si="9"/>
        <v>5.2334282106001797E-3</v>
      </c>
    </row>
    <row r="112" spans="1:16" x14ac:dyDescent="0.25">
      <c r="A112" s="2">
        <v>40387</v>
      </c>
      <c r="B112">
        <v>1.2488690000000001E-3</v>
      </c>
      <c r="C112">
        <v>2.580017E-3</v>
      </c>
      <c r="D112">
        <v>-6.9460679999999997E-3</v>
      </c>
      <c r="E112">
        <v>-4.5808940000000003E-3</v>
      </c>
      <c r="F112">
        <v>-8.6099320000000007E-3</v>
      </c>
      <c r="G112">
        <v>2.6642448999999999E-2</v>
      </c>
      <c r="H112">
        <v>2.0077620000000002E-3</v>
      </c>
      <c r="I112">
        <v>-4.5547649999999997E-3</v>
      </c>
      <c r="J112">
        <v>7.7241699999999996E-4</v>
      </c>
      <c r="K112">
        <v>2.580017E-3</v>
      </c>
      <c r="L112">
        <f t="shared" si="5"/>
        <v>1.407987844439974E-3</v>
      </c>
      <c r="M112">
        <f t="shared" si="6"/>
        <v>2.3354187952218664E-3</v>
      </c>
      <c r="N112">
        <f t="shared" si="7"/>
        <v>1.787574168767128E-3</v>
      </c>
      <c r="O112">
        <f t="shared" si="8"/>
        <v>3.4638261754090923E-3</v>
      </c>
      <c r="P112">
        <f t="shared" si="9"/>
        <v>-1.0280640381800073E-4</v>
      </c>
    </row>
    <row r="113" spans="1:16" x14ac:dyDescent="0.25">
      <c r="A113" s="2">
        <v>40388</v>
      </c>
      <c r="B113">
        <v>5.4968860000000003E-3</v>
      </c>
      <c r="C113">
        <v>5.4291909999999999E-3</v>
      </c>
      <c r="D113">
        <v>-4.1673140000000001E-3</v>
      </c>
      <c r="E113">
        <v>-7.1855590000000002E-3</v>
      </c>
      <c r="F113">
        <v>-1.0720630000000001E-3</v>
      </c>
      <c r="G113">
        <v>-5.8871210000000004E-3</v>
      </c>
      <c r="H113">
        <v>2.1829829999999999E-3</v>
      </c>
      <c r="I113">
        <v>-3.2076689999999998E-3</v>
      </c>
      <c r="J113">
        <v>1.4322709999999999E-3</v>
      </c>
      <c r="K113">
        <v>5.4291909999999999E-3</v>
      </c>
      <c r="L113">
        <f t="shared" si="5"/>
        <v>-1.3846160662540703E-3</v>
      </c>
      <c r="M113">
        <f t="shared" si="6"/>
        <v>5.5868609277159626E-4</v>
      </c>
      <c r="N113">
        <f t="shared" si="7"/>
        <v>-4.8947099998309512E-4</v>
      </c>
      <c r="O113">
        <f t="shared" si="8"/>
        <v>-1.8151706825110666E-3</v>
      </c>
      <c r="P113">
        <f t="shared" si="9"/>
        <v>-7.8295563555517869E-4</v>
      </c>
    </row>
    <row r="114" spans="1:16" x14ac:dyDescent="0.25">
      <c r="A114" s="2">
        <v>40389</v>
      </c>
      <c r="B114">
        <v>-1.4436417999999999E-2</v>
      </c>
      <c r="C114">
        <v>-1.5301669E-2</v>
      </c>
      <c r="D114" s="1">
        <v>6.3546000000000004E-5</v>
      </c>
      <c r="E114">
        <v>2.1607689999999999E-3</v>
      </c>
      <c r="F114">
        <v>-1.0594121E-2</v>
      </c>
      <c r="G114">
        <v>-1.6505064999999999E-2</v>
      </c>
      <c r="H114">
        <v>8.3439789999999996E-3</v>
      </c>
      <c r="I114">
        <v>-6.1659080000000003E-3</v>
      </c>
      <c r="J114">
        <v>-3.2949770000000001E-3</v>
      </c>
      <c r="K114">
        <v>-1.5301669E-2</v>
      </c>
      <c r="L114">
        <f t="shared" si="5"/>
        <v>-8.0664095897785264E-3</v>
      </c>
      <c r="M114">
        <f t="shared" si="6"/>
        <v>-1.5059895601496776E-4</v>
      </c>
      <c r="N114">
        <f t="shared" si="7"/>
        <v>-6.9008664055830076E-3</v>
      </c>
      <c r="O114">
        <f t="shared" si="8"/>
        <v>-5.6222543760234998E-3</v>
      </c>
      <c r="P114">
        <f t="shared" si="9"/>
        <v>-9.8463123307460428E-3</v>
      </c>
    </row>
    <row r="115" spans="1:16" x14ac:dyDescent="0.25">
      <c r="A115" s="2">
        <v>40392</v>
      </c>
      <c r="B115">
        <v>1.3711065E-2</v>
      </c>
      <c r="C115">
        <v>2.2125061000000001E-2</v>
      </c>
      <c r="D115">
        <v>2.1783520000000001E-2</v>
      </c>
      <c r="E115">
        <v>2.3177699999999999E-2</v>
      </c>
      <c r="F115">
        <v>2.6111045999999999E-2</v>
      </c>
      <c r="G115">
        <v>3.4551709999999999E-3</v>
      </c>
      <c r="H115">
        <v>1.4732093999999999E-2</v>
      </c>
      <c r="I115">
        <v>2.5194827999999999E-2</v>
      </c>
      <c r="J115">
        <v>1.5749215E-2</v>
      </c>
      <c r="K115">
        <v>2.2125061000000001E-2</v>
      </c>
      <c r="L115">
        <f t="shared" si="5"/>
        <v>2.9579735840302438E-2</v>
      </c>
      <c r="M115">
        <f t="shared" si="6"/>
        <v>1.3597488624343035E-2</v>
      </c>
      <c r="N115">
        <f t="shared" si="7"/>
        <v>2.6492478679298812E-2</v>
      </c>
      <c r="O115">
        <f t="shared" si="8"/>
        <v>2.3716455647636064E-2</v>
      </c>
      <c r="P115">
        <f t="shared" si="9"/>
        <v>3.0062192551223246E-2</v>
      </c>
    </row>
    <row r="116" spans="1:16" x14ac:dyDescent="0.25">
      <c r="A116" s="2">
        <v>40393</v>
      </c>
      <c r="B116">
        <v>-1.0180284E-2</v>
      </c>
      <c r="C116">
        <v>-6.4154770000000002E-3</v>
      </c>
      <c r="D116">
        <v>-4.8078729999999998E-3</v>
      </c>
      <c r="E116">
        <v>2.504755E-3</v>
      </c>
      <c r="F116">
        <v>-1.11177E-4</v>
      </c>
      <c r="G116">
        <v>1.2842571000000001E-2</v>
      </c>
      <c r="H116">
        <v>-7.6183029999999999E-3</v>
      </c>
      <c r="I116">
        <v>5.0104399999999997E-4</v>
      </c>
      <c r="J116">
        <v>-2.4982590000000001E-3</v>
      </c>
      <c r="K116">
        <v>-6.4154770000000002E-3</v>
      </c>
      <c r="L116">
        <f t="shared" si="5"/>
        <v>1.2935409530254586E-3</v>
      </c>
      <c r="M116">
        <f t="shared" si="6"/>
        <v>2.3737979373960241E-3</v>
      </c>
      <c r="N116">
        <f t="shared" si="7"/>
        <v>1.3995529058074667E-3</v>
      </c>
      <c r="O116">
        <f t="shared" si="8"/>
        <v>3.2764489730861277E-3</v>
      </c>
      <c r="P116">
        <f t="shared" si="9"/>
        <v>1.4393410507889748E-3</v>
      </c>
    </row>
    <row r="117" spans="1:16" x14ac:dyDescent="0.25">
      <c r="A117" s="2">
        <v>40394</v>
      </c>
      <c r="B117">
        <v>-3.2981249999999998E-3</v>
      </c>
      <c r="C117">
        <v>-8.0658840000000006E-3</v>
      </c>
      <c r="D117">
        <v>6.032852E-3</v>
      </c>
      <c r="E117">
        <v>3.7059229999999999E-3</v>
      </c>
      <c r="F117">
        <v>-1.910468E-3</v>
      </c>
      <c r="G117">
        <v>-2.1339106E-2</v>
      </c>
      <c r="H117">
        <v>4.0361399999999997E-3</v>
      </c>
      <c r="I117">
        <v>7.69452E-4</v>
      </c>
      <c r="J117">
        <v>1.5739899999999999E-3</v>
      </c>
      <c r="K117">
        <v>-8.0658840000000006E-3</v>
      </c>
      <c r="L117">
        <f t="shared" si="5"/>
        <v>2.3778422439052591E-3</v>
      </c>
      <c r="M117">
        <f t="shared" si="6"/>
        <v>1.6325810864219216E-3</v>
      </c>
      <c r="N117">
        <f t="shared" si="7"/>
        <v>3.2314385256553783E-4</v>
      </c>
      <c r="O117">
        <f t="shared" si="8"/>
        <v>-1.2687259858706384E-3</v>
      </c>
      <c r="P117">
        <f t="shared" si="9"/>
        <v>8.5077446486327645E-4</v>
      </c>
    </row>
    <row r="118" spans="1:16" x14ac:dyDescent="0.25">
      <c r="A118" s="2">
        <v>40395</v>
      </c>
      <c r="B118">
        <v>-4.6456580000000004E-3</v>
      </c>
      <c r="C118">
        <v>-5.9189819999999997E-3</v>
      </c>
      <c r="D118">
        <v>-1.2693909999999999E-3</v>
      </c>
      <c r="E118">
        <v>3.5531199999999999E-4</v>
      </c>
      <c r="F118">
        <v>-3.794647E-3</v>
      </c>
      <c r="G118">
        <v>1.7194986999999998E-2</v>
      </c>
      <c r="H118">
        <v>2.0485210000000002E-3</v>
      </c>
      <c r="I118">
        <v>-1.9610769999999999E-3</v>
      </c>
      <c r="J118">
        <v>-6.4004899999999996E-4</v>
      </c>
      <c r="K118">
        <v>-5.9189819999999997E-3</v>
      </c>
      <c r="L118">
        <f t="shared" si="5"/>
        <v>3.1873932285696269E-4</v>
      </c>
      <c r="M118">
        <f t="shared" si="6"/>
        <v>3.0211245956114352E-3</v>
      </c>
      <c r="N118">
        <f t="shared" si="7"/>
        <v>1.2775302502727787E-3</v>
      </c>
      <c r="O118">
        <f t="shared" si="8"/>
        <v>3.6841653393660601E-3</v>
      </c>
      <c r="P118">
        <f t="shared" si="9"/>
        <v>-9.7596492592210218E-5</v>
      </c>
    </row>
    <row r="119" spans="1:16" x14ac:dyDescent="0.25">
      <c r="A119" s="2">
        <v>40396</v>
      </c>
      <c r="B119">
        <v>2.5114759999999999E-3</v>
      </c>
      <c r="C119">
        <v>5.730527E-3</v>
      </c>
      <c r="D119">
        <v>-3.710877E-3</v>
      </c>
      <c r="E119">
        <v>-1.1744559E-2</v>
      </c>
      <c r="F119">
        <v>-6.2440610000000004E-3</v>
      </c>
      <c r="G119">
        <v>-1.2230489999999999E-3</v>
      </c>
      <c r="H119">
        <v>-4.6444590000000001E-3</v>
      </c>
      <c r="I119">
        <v>-1.0199694E-2</v>
      </c>
      <c r="J119">
        <v>-1.8461389999999999E-3</v>
      </c>
      <c r="K119">
        <v>5.730527E-3</v>
      </c>
      <c r="L119">
        <f t="shared" si="5"/>
        <v>-7.2422686785066966E-3</v>
      </c>
      <c r="M119">
        <f t="shared" si="6"/>
        <v>-1.4553691507654966E-3</v>
      </c>
      <c r="N119">
        <f t="shared" si="7"/>
        <v>-5.8229718942897895E-3</v>
      </c>
      <c r="O119">
        <f t="shared" si="8"/>
        <v>-5.3651183100968391E-3</v>
      </c>
      <c r="P119">
        <f t="shared" si="9"/>
        <v>-5.6918261971709103E-3</v>
      </c>
    </row>
    <row r="120" spans="1:16" x14ac:dyDescent="0.25">
      <c r="A120" s="2">
        <v>40399</v>
      </c>
      <c r="B120">
        <v>2.2171769999999999E-3</v>
      </c>
      <c r="C120">
        <v>8.2076070000000004E-3</v>
      </c>
      <c r="D120">
        <v>5.4680659999999997E-3</v>
      </c>
      <c r="E120">
        <v>1.4585671999999999E-2</v>
      </c>
      <c r="F120">
        <v>1.4540091999999999E-2</v>
      </c>
      <c r="G120">
        <v>-7.2476420000000003E-3</v>
      </c>
      <c r="H120">
        <v>-3.4275579999999998E-3</v>
      </c>
      <c r="I120">
        <v>1.3367947999999999E-2</v>
      </c>
      <c r="J120">
        <v>3.6115269999999998E-3</v>
      </c>
      <c r="K120">
        <v>8.2076070000000004E-3</v>
      </c>
      <c r="L120">
        <f t="shared" si="5"/>
        <v>1.2654696287409553E-2</v>
      </c>
      <c r="M120">
        <f t="shared" si="6"/>
        <v>6.1661688981558081E-3</v>
      </c>
      <c r="N120">
        <f t="shared" si="7"/>
        <v>1.0809715902387038E-2</v>
      </c>
      <c r="O120">
        <f t="shared" si="8"/>
        <v>9.6387682443643888E-3</v>
      </c>
      <c r="P120">
        <f t="shared" si="9"/>
        <v>1.3358102887616529E-2</v>
      </c>
    </row>
    <row r="121" spans="1:16" x14ac:dyDescent="0.25">
      <c r="A121" s="2">
        <v>40400</v>
      </c>
      <c r="B121">
        <v>-1.2028845E-2</v>
      </c>
      <c r="C121">
        <v>-1.7887816000000001E-2</v>
      </c>
      <c r="D121">
        <v>-5.9852990000000003E-3</v>
      </c>
      <c r="E121">
        <v>-1.0342041E-2</v>
      </c>
      <c r="F121">
        <v>-6.322505E-3</v>
      </c>
      <c r="G121">
        <v>-2.2422639999999999E-3</v>
      </c>
      <c r="H121">
        <v>-9.4607800000000002E-3</v>
      </c>
      <c r="I121">
        <v>-7.7525019999999997E-3</v>
      </c>
      <c r="J121">
        <v>-9.9664019999999992E-3</v>
      </c>
      <c r="K121">
        <v>-1.7887816000000001E-2</v>
      </c>
      <c r="L121">
        <f t="shared" si="5"/>
        <v>-1.141988100359448E-2</v>
      </c>
      <c r="M121">
        <f t="shared" si="6"/>
        <v>-2.4424884378859498E-3</v>
      </c>
      <c r="N121">
        <f t="shared" si="7"/>
        <v>-1.0376211750882366E-2</v>
      </c>
      <c r="O121">
        <f t="shared" si="8"/>
        <v>-7.889896402311072E-3</v>
      </c>
      <c r="P121">
        <f t="shared" si="9"/>
        <v>-1.1059213053213666E-2</v>
      </c>
    </row>
    <row r="122" spans="1:16" x14ac:dyDescent="0.25">
      <c r="A122" s="2">
        <v>40401</v>
      </c>
      <c r="B122">
        <v>-1.7302051999999998E-2</v>
      </c>
      <c r="C122">
        <v>-2.5658664000000001E-2</v>
      </c>
      <c r="D122">
        <v>-2.8583326999999999E-2</v>
      </c>
      <c r="E122">
        <v>-2.1251057E-2</v>
      </c>
      <c r="F122">
        <v>-2.4705633000000001E-2</v>
      </c>
      <c r="G122">
        <v>-2.7405809E-2</v>
      </c>
      <c r="H122">
        <v>-2.15476E-2</v>
      </c>
      <c r="I122">
        <v>-2.4910185000000001E-2</v>
      </c>
      <c r="J122">
        <v>-1.411308E-2</v>
      </c>
      <c r="K122">
        <v>-2.5658664000000001E-2</v>
      </c>
      <c r="L122">
        <f t="shared" si="5"/>
        <v>-2.702701980406972E-2</v>
      </c>
      <c r="M122">
        <f t="shared" si="6"/>
        <v>-1.1553281140385055E-2</v>
      </c>
      <c r="N122">
        <f t="shared" si="7"/>
        <v>-2.4977033223068955E-2</v>
      </c>
      <c r="O122">
        <f t="shared" si="8"/>
        <v>-2.5112118793277651E-2</v>
      </c>
      <c r="P122">
        <f t="shared" si="9"/>
        <v>-2.7181422210949709E-2</v>
      </c>
    </row>
    <row r="123" spans="1:16" x14ac:dyDescent="0.25">
      <c r="A123" s="2">
        <v>40402</v>
      </c>
      <c r="B123">
        <v>3.9308989999999999E-3</v>
      </c>
      <c r="C123">
        <v>-3.832495E-3</v>
      </c>
      <c r="D123">
        <v>-5.3932800000000003E-3</v>
      </c>
      <c r="E123">
        <v>-3.0758640000000002E-3</v>
      </c>
      <c r="F123">
        <v>3.976678E-3</v>
      </c>
      <c r="G123">
        <v>-8.6742599999999996E-3</v>
      </c>
      <c r="H123">
        <v>2.6716069999999999E-3</v>
      </c>
      <c r="I123">
        <v>4.32349E-4</v>
      </c>
      <c r="J123">
        <v>-5.318878E-3</v>
      </c>
      <c r="K123">
        <v>-3.832495E-3</v>
      </c>
      <c r="L123">
        <f t="shared" si="5"/>
        <v>-7.2603529290079256E-3</v>
      </c>
      <c r="M123">
        <f t="shared" si="6"/>
        <v>8.4843417317505623E-4</v>
      </c>
      <c r="N123">
        <f t="shared" si="7"/>
        <v>-3.8529580590432235E-3</v>
      </c>
      <c r="O123">
        <f t="shared" si="8"/>
        <v>-2.5349163080321197E-3</v>
      </c>
      <c r="P123">
        <f t="shared" si="9"/>
        <v>-5.7614234976585948E-3</v>
      </c>
    </row>
    <row r="124" spans="1:16" x14ac:dyDescent="0.25">
      <c r="A124" s="2">
        <v>40403</v>
      </c>
      <c r="B124">
        <v>1.6455090000000001E-3</v>
      </c>
      <c r="C124">
        <v>6.9472309999999999E-3</v>
      </c>
      <c r="D124">
        <v>-4.0317039999999997E-3</v>
      </c>
      <c r="E124">
        <v>-4.043914E-3</v>
      </c>
      <c r="F124">
        <v>1.7644550000000001E-3</v>
      </c>
      <c r="G124">
        <v>4.4265090000000003E-3</v>
      </c>
      <c r="H124">
        <v>4.507306E-3</v>
      </c>
      <c r="I124">
        <v>-2.0876099999999999E-4</v>
      </c>
      <c r="J124">
        <v>4.7252680000000003E-3</v>
      </c>
      <c r="K124">
        <v>6.9472309999999999E-3</v>
      </c>
      <c r="L124">
        <f t="shared" si="5"/>
        <v>3.5242107063230455E-3</v>
      </c>
      <c r="M124">
        <f t="shared" si="6"/>
        <v>2.7282746639162017E-3</v>
      </c>
      <c r="N124">
        <f t="shared" si="7"/>
        <v>4.587958961955396E-3</v>
      </c>
      <c r="O124">
        <f t="shared" si="8"/>
        <v>3.231201189047443E-3</v>
      </c>
      <c r="P124">
        <f t="shared" si="9"/>
        <v>4.2989247874679736E-3</v>
      </c>
    </row>
    <row r="125" spans="1:16" x14ac:dyDescent="0.25">
      <c r="A125" s="2">
        <v>40406</v>
      </c>
      <c r="B125">
        <v>5.8474529999999999E-3</v>
      </c>
      <c r="C125">
        <v>6.5785360000000003E-3</v>
      </c>
      <c r="D125">
        <v>1.2044699999999999E-4</v>
      </c>
      <c r="E125" s="1">
        <v>2.61845E-5</v>
      </c>
      <c r="F125">
        <v>1.32683E-4</v>
      </c>
      <c r="G125">
        <v>-6.1560740000000001E-3</v>
      </c>
      <c r="H125">
        <v>6.5881739999999996E-3</v>
      </c>
      <c r="I125">
        <v>-6.9032900000000005E-4</v>
      </c>
      <c r="J125">
        <v>3.266443E-3</v>
      </c>
      <c r="K125">
        <v>6.5785360000000003E-3</v>
      </c>
      <c r="L125">
        <f t="shared" si="5"/>
        <v>1.0950187844224065E-3</v>
      </c>
      <c r="M125">
        <f t="shared" si="6"/>
        <v>2.4179641315910873E-3</v>
      </c>
      <c r="N125">
        <f t="shared" si="7"/>
        <v>2.108318268264092E-3</v>
      </c>
      <c r="O125">
        <f t="shared" si="8"/>
        <v>1.2902780443637728E-3</v>
      </c>
      <c r="P125">
        <f t="shared" si="9"/>
        <v>1.4559061154392487E-3</v>
      </c>
    </row>
    <row r="126" spans="1:16" x14ac:dyDescent="0.25">
      <c r="A126" s="2">
        <v>40407</v>
      </c>
      <c r="B126">
        <v>1.0823050000000001E-2</v>
      </c>
      <c r="C126">
        <v>2.0238128000000001E-2</v>
      </c>
      <c r="D126">
        <v>1.2118458E-2</v>
      </c>
      <c r="E126">
        <v>1.5560958999999999E-2</v>
      </c>
      <c r="F126">
        <v>1.4002825999999999E-2</v>
      </c>
      <c r="G126">
        <v>-3.8118940000000001E-3</v>
      </c>
      <c r="H126">
        <v>1.3136330999999999E-2</v>
      </c>
      <c r="I126">
        <v>1.4231898E-2</v>
      </c>
      <c r="J126">
        <v>4.8058490000000001E-3</v>
      </c>
      <c r="K126">
        <v>2.0238128000000001E-2</v>
      </c>
      <c r="L126">
        <f t="shared" si="5"/>
        <v>1.138225860158828E-2</v>
      </c>
      <c r="M126">
        <f t="shared" si="6"/>
        <v>8.286347073368781E-3</v>
      </c>
      <c r="N126">
        <f t="shared" si="7"/>
        <v>1.150739156165146E-2</v>
      </c>
      <c r="O126">
        <f t="shared" si="8"/>
        <v>1.176334054607518E-2</v>
      </c>
      <c r="P126">
        <f t="shared" si="9"/>
        <v>1.1504964814046927E-2</v>
      </c>
    </row>
    <row r="127" spans="1:16" x14ac:dyDescent="0.25">
      <c r="A127" s="2">
        <v>40408</v>
      </c>
      <c r="B127">
        <v>-3.27821E-4</v>
      </c>
      <c r="C127">
        <v>-3.2736199999999999E-4</v>
      </c>
      <c r="D127">
        <v>1.4816849999999999E-3</v>
      </c>
      <c r="E127">
        <v>-3.2422319999999998E-3</v>
      </c>
      <c r="F127">
        <v>-8.9361739999999999E-3</v>
      </c>
      <c r="G127">
        <v>8.5707579999999995E-3</v>
      </c>
      <c r="H127">
        <v>7.9868699999999996E-4</v>
      </c>
      <c r="I127">
        <v>-4.4382789999999998E-3</v>
      </c>
      <c r="J127">
        <v>1.3057699999999999E-4</v>
      </c>
      <c r="K127">
        <v>-3.2736199999999999E-4</v>
      </c>
      <c r="L127">
        <f t="shared" si="5"/>
        <v>1.4603187062624523E-3</v>
      </c>
      <c r="M127">
        <f t="shared" si="6"/>
        <v>1.4563273599501618E-3</v>
      </c>
      <c r="N127">
        <f t="shared" si="7"/>
        <v>-3.5052941494808612E-4</v>
      </c>
      <c r="O127">
        <f t="shared" si="8"/>
        <v>3.7972481027572858E-4</v>
      </c>
      <c r="P127">
        <f t="shared" si="9"/>
        <v>-6.6252140897839098E-4</v>
      </c>
    </row>
    <row r="128" spans="1:16" x14ac:dyDescent="0.25">
      <c r="A128" s="2">
        <v>40409</v>
      </c>
      <c r="B128">
        <v>-1.0043636E-2</v>
      </c>
      <c r="C128">
        <v>-1.2118576000000001E-2</v>
      </c>
      <c r="D128">
        <v>-1.7080409000000001E-2</v>
      </c>
      <c r="E128">
        <v>-1.8135398E-2</v>
      </c>
      <c r="F128">
        <v>-1.7424496000000001E-2</v>
      </c>
      <c r="G128">
        <v>1.3131248999999999E-2</v>
      </c>
      <c r="H128">
        <v>-1.1165326999999999E-2</v>
      </c>
      <c r="I128">
        <v>-1.6559421000000001E-2</v>
      </c>
      <c r="J128">
        <v>1.13875E-3</v>
      </c>
      <c r="K128">
        <v>-1.2118576000000001E-2</v>
      </c>
      <c r="L128">
        <f t="shared" si="5"/>
        <v>-4.7976861615501593E-3</v>
      </c>
      <c r="M128">
        <f t="shared" si="6"/>
        <v>-3.6280114047131259E-3</v>
      </c>
      <c r="N128">
        <f t="shared" si="7"/>
        <v>-5.301845812367572E-3</v>
      </c>
      <c r="O128">
        <f t="shared" si="8"/>
        <v>-6.743980585820126E-3</v>
      </c>
      <c r="P128">
        <f t="shared" si="9"/>
        <v>-5.3493912886892429E-3</v>
      </c>
    </row>
    <row r="129" spans="1:16" x14ac:dyDescent="0.25">
      <c r="A129" s="2">
        <v>40410</v>
      </c>
      <c r="B129">
        <v>-1.6915070000000001E-3</v>
      </c>
      <c r="C129">
        <v>-9.9611449999999994E-3</v>
      </c>
      <c r="D129">
        <v>-3.6696950000000002E-3</v>
      </c>
      <c r="E129">
        <v>-1.1584288999999999E-2</v>
      </c>
      <c r="F129">
        <v>-3.0749739999999998E-3</v>
      </c>
      <c r="G129">
        <v>-1.977191E-2</v>
      </c>
      <c r="H129">
        <v>-3.144563E-3</v>
      </c>
      <c r="I129">
        <v>-9.8761820000000007E-3</v>
      </c>
      <c r="J129">
        <v>-2.4962439999999999E-3</v>
      </c>
      <c r="K129">
        <v>-9.9611449999999994E-3</v>
      </c>
      <c r="L129">
        <f t="shared" si="5"/>
        <v>-1.0732304750055321E-2</v>
      </c>
      <c r="M129">
        <f t="shared" si="6"/>
        <v>-2.5410833733562703E-3</v>
      </c>
      <c r="N129">
        <f t="shared" si="7"/>
        <v>-8.2012139768345323E-3</v>
      </c>
      <c r="O129">
        <f t="shared" si="8"/>
        <v>-8.8008399910140742E-3</v>
      </c>
      <c r="P129">
        <f t="shared" si="9"/>
        <v>-8.0799380094976007E-3</v>
      </c>
    </row>
    <row r="130" spans="1:16" x14ac:dyDescent="0.25">
      <c r="A130" s="2">
        <v>40413</v>
      </c>
      <c r="B130">
        <v>2.3891469999999999E-3</v>
      </c>
      <c r="C130">
        <v>-3.9646400000000002E-4</v>
      </c>
      <c r="D130">
        <v>-4.0485319999999997E-3</v>
      </c>
      <c r="E130">
        <v>9.5705200000000001E-4</v>
      </c>
      <c r="F130">
        <v>7.5742680000000003E-3</v>
      </c>
      <c r="G130">
        <v>-6.8528649999999997E-3</v>
      </c>
      <c r="H130">
        <v>-1.0478088E-2</v>
      </c>
      <c r="I130">
        <v>5.6660189999999996E-3</v>
      </c>
      <c r="J130">
        <v>-1.46846E-3</v>
      </c>
      <c r="K130">
        <v>-3.9646400000000002E-4</v>
      </c>
      <c r="L130">
        <f t="shared" si="5"/>
        <v>4.577493639011606E-3</v>
      </c>
      <c r="M130">
        <f t="shared" si="6"/>
        <v>1.7896696955474771E-3</v>
      </c>
      <c r="N130">
        <f t="shared" si="7"/>
        <v>3.0064828448026493E-3</v>
      </c>
      <c r="O130">
        <f t="shared" si="8"/>
        <v>1.698240637331178E-3</v>
      </c>
      <c r="P130">
        <f t="shared" si="9"/>
        <v>5.1198814215926963E-3</v>
      </c>
    </row>
    <row r="131" spans="1:16" x14ac:dyDescent="0.25">
      <c r="A131" s="2">
        <v>40414</v>
      </c>
      <c r="B131">
        <v>-4.548585E-3</v>
      </c>
      <c r="C131">
        <v>-1.3976189E-2</v>
      </c>
      <c r="D131">
        <v>-1.4618776999999999E-2</v>
      </c>
      <c r="E131">
        <v>-1.263499E-2</v>
      </c>
      <c r="F131">
        <v>-1.5167554E-2</v>
      </c>
      <c r="G131">
        <v>-1.3422368E-2</v>
      </c>
      <c r="H131">
        <v>-1.2597583000000001E-2</v>
      </c>
      <c r="I131">
        <v>-1.5370175E-2</v>
      </c>
      <c r="J131">
        <v>-9.7305800000000008E-3</v>
      </c>
      <c r="K131">
        <v>-1.3976189E-2</v>
      </c>
      <c r="L131">
        <f t="shared" si="5"/>
        <v>-1.6810884562475349E-2</v>
      </c>
      <c r="M131">
        <f t="shared" si="6"/>
        <v>-5.8250549307602532E-3</v>
      </c>
      <c r="N131">
        <f t="shared" si="7"/>
        <v>-1.538259086520118E-2</v>
      </c>
      <c r="O131">
        <f t="shared" si="8"/>
        <v>-1.4277499361564312E-2</v>
      </c>
      <c r="P131">
        <f t="shared" si="9"/>
        <v>-1.6823012494604116E-2</v>
      </c>
    </row>
    <row r="132" spans="1:16" x14ac:dyDescent="0.25">
      <c r="A132" s="2">
        <v>40415</v>
      </c>
      <c r="B132">
        <v>-5.7746000000000004E-3</v>
      </c>
      <c r="C132">
        <v>-2.2902550000000002E-3</v>
      </c>
      <c r="D132">
        <v>3.283982E-3</v>
      </c>
      <c r="E132">
        <v>-6.0735600000000004E-3</v>
      </c>
      <c r="F132">
        <v>-9.0791050000000005E-3</v>
      </c>
      <c r="G132">
        <v>-1.6788012000000001E-2</v>
      </c>
      <c r="H132">
        <v>-5.4324960000000002E-3</v>
      </c>
      <c r="I132">
        <v>-9.3287470000000001E-3</v>
      </c>
      <c r="J132">
        <v>-9.6624369999999994E-3</v>
      </c>
      <c r="K132">
        <v>-2.2902550000000002E-3</v>
      </c>
      <c r="L132">
        <f t="shared" ref="L132:L195" si="10">SUMPRODUCT(D132:J132,$R$8:$X$8)+$Y$8</f>
        <v>-1.2896122814340027E-2</v>
      </c>
      <c r="M132">
        <f t="shared" ref="M132:M195" si="11">SUMPRODUCT(D132:J132,$R$16:$X$16)+$Y$16</f>
        <v>-2.5977923634112024E-3</v>
      </c>
      <c r="N132">
        <f t="shared" ref="N132:N195" si="12">SUMPRODUCT(D132:J132,$R$24:$X$24)+$Y$24</f>
        <v>-1.2614223522628372E-2</v>
      </c>
      <c r="O132">
        <f t="shared" ref="O132:O195" si="13">SUMPRODUCT(D132:J132,$R$32:$X$32)+$Y$32</f>
        <v>-9.9919923662038883E-3</v>
      </c>
      <c r="P132">
        <f t="shared" ref="P132:P195" si="14">SUMPRODUCT(D132:J132,$R$40:$X$40)+$Y$40</f>
        <v>-1.3063882604256881E-2</v>
      </c>
    </row>
    <row r="133" spans="1:16" x14ac:dyDescent="0.25">
      <c r="A133" s="2">
        <v>40416</v>
      </c>
      <c r="B133">
        <v>1.3165613E-2</v>
      </c>
      <c r="C133">
        <v>1.5274596999999999E-2</v>
      </c>
      <c r="D133">
        <v>-7.7144800000000001E-3</v>
      </c>
      <c r="E133">
        <v>2.2146829999999998E-3</v>
      </c>
      <c r="F133">
        <v>9.0403140000000007E-3</v>
      </c>
      <c r="G133">
        <v>6.8826820000000002E-3</v>
      </c>
      <c r="H133">
        <v>-1.4549103000000001E-2</v>
      </c>
      <c r="I133">
        <v>8.4095639999999996E-3</v>
      </c>
      <c r="J133">
        <v>-7.5537599999999999E-4</v>
      </c>
      <c r="K133">
        <v>1.5274596999999999E-2</v>
      </c>
      <c r="L133">
        <f t="shared" si="10"/>
        <v>9.1219021288631678E-3</v>
      </c>
      <c r="M133">
        <f t="shared" si="11"/>
        <v>2.934510399373323E-3</v>
      </c>
      <c r="N133">
        <f t="shared" si="12"/>
        <v>6.7265487974008864E-3</v>
      </c>
      <c r="O133">
        <f t="shared" si="13"/>
        <v>5.5456456896603818E-3</v>
      </c>
      <c r="P133">
        <f t="shared" si="14"/>
        <v>9.2442587818659765E-3</v>
      </c>
    </row>
    <row r="134" spans="1:16" x14ac:dyDescent="0.25">
      <c r="A134" s="2">
        <v>40417</v>
      </c>
      <c r="B134">
        <v>4.8620069999999998E-3</v>
      </c>
      <c r="C134">
        <v>5.8530750000000001E-3</v>
      </c>
      <c r="D134">
        <v>1.6450715000000001E-2</v>
      </c>
      <c r="E134">
        <v>6.5055549999999997E-3</v>
      </c>
      <c r="F134">
        <v>8.8439759999999999E-3</v>
      </c>
      <c r="G134">
        <v>9.4516489999999995E-3</v>
      </c>
      <c r="H134">
        <v>2.6544214999999999E-2</v>
      </c>
      <c r="I134">
        <v>8.3375480000000002E-3</v>
      </c>
      <c r="J134">
        <v>5.0807609999999996E-3</v>
      </c>
      <c r="K134">
        <v>5.8530750000000001E-3</v>
      </c>
      <c r="L134">
        <f t="shared" si="10"/>
        <v>6.1725888804298589E-3</v>
      </c>
      <c r="M134">
        <f t="shared" si="11"/>
        <v>8.5957955278527128E-3</v>
      </c>
      <c r="N134">
        <f t="shared" si="12"/>
        <v>8.9151472954432237E-3</v>
      </c>
      <c r="O134">
        <f t="shared" si="13"/>
        <v>1.1186915479484295E-2</v>
      </c>
      <c r="P134">
        <f t="shared" si="14"/>
        <v>6.4894409970184079E-3</v>
      </c>
    </row>
    <row r="135" spans="1:16" x14ac:dyDescent="0.25">
      <c r="A135" s="2">
        <v>40421</v>
      </c>
      <c r="B135">
        <v>1.0504082E-2</v>
      </c>
      <c r="C135">
        <v>6.8124229999999997E-3</v>
      </c>
      <c r="D135">
        <v>-1.4437883E-2</v>
      </c>
      <c r="E135">
        <v>-4.3700220000000003E-3</v>
      </c>
      <c r="F135">
        <v>4.5268039999999997E-3</v>
      </c>
      <c r="G135">
        <v>-1.8748668999999999E-2</v>
      </c>
      <c r="H135">
        <v>-6.7314569999999997E-3</v>
      </c>
      <c r="I135">
        <v>3.7583499999999998E-4</v>
      </c>
      <c r="J135">
        <v>2.00541E-3</v>
      </c>
      <c r="K135">
        <v>6.8124229999999997E-3</v>
      </c>
      <c r="L135">
        <f t="shared" si="10"/>
        <v>3.3184506889871127E-4</v>
      </c>
      <c r="M135">
        <f t="shared" si="11"/>
        <v>-5.5978092588585774E-4</v>
      </c>
      <c r="N135">
        <f t="shared" si="12"/>
        <v>1.0457172966464726E-3</v>
      </c>
      <c r="O135">
        <f t="shared" si="13"/>
        <v>-2.8964955457748964E-3</v>
      </c>
      <c r="P135">
        <f t="shared" si="14"/>
        <v>1.8664492466787279E-3</v>
      </c>
    </row>
    <row r="136" spans="1:16" x14ac:dyDescent="0.25">
      <c r="A136" s="2">
        <v>40422</v>
      </c>
      <c r="B136">
        <v>1.1817164999999999E-2</v>
      </c>
      <c r="C136">
        <v>1.5375877E-2</v>
      </c>
      <c r="D136">
        <v>2.9077657999999999E-2</v>
      </c>
      <c r="E136">
        <v>2.6428120999999999E-2</v>
      </c>
      <c r="F136">
        <v>2.6664218E-2</v>
      </c>
      <c r="G136">
        <v>1.1600551000000001E-2</v>
      </c>
      <c r="H136">
        <v>2.9166023999999999E-2</v>
      </c>
      <c r="I136">
        <v>2.8944995000000001E-2</v>
      </c>
      <c r="J136">
        <v>1.4404659E-2</v>
      </c>
      <c r="K136">
        <v>1.5375877E-2</v>
      </c>
      <c r="L136">
        <f t="shared" si="10"/>
        <v>2.944060279172548E-2</v>
      </c>
      <c r="M136">
        <f t="shared" si="11"/>
        <v>1.6344309059716636E-2</v>
      </c>
      <c r="N136">
        <f t="shared" si="12"/>
        <v>2.7529179997289425E-2</v>
      </c>
      <c r="O136">
        <f t="shared" si="13"/>
        <v>2.7182299691382021E-2</v>
      </c>
      <c r="P136">
        <f t="shared" si="14"/>
        <v>2.8555969017637375E-2</v>
      </c>
    </row>
    <row r="137" spans="1:16" x14ac:dyDescent="0.25">
      <c r="A137" s="2">
        <v>40423</v>
      </c>
      <c r="B137">
        <v>2.9655010000000002E-3</v>
      </c>
      <c r="C137">
        <v>9.6579519999999992E-3</v>
      </c>
      <c r="D137">
        <v>9.0399120000000006E-3</v>
      </c>
      <c r="E137" s="1">
        <v>-8.2184499999999992E-6</v>
      </c>
      <c r="F137">
        <v>8.5681799999999997E-4</v>
      </c>
      <c r="G137">
        <v>1.5099904000000001E-2</v>
      </c>
      <c r="H137">
        <v>-3.9587449999999996E-3</v>
      </c>
      <c r="I137">
        <v>7.7735900000000004E-4</v>
      </c>
      <c r="J137">
        <v>3.6541030000000001E-3</v>
      </c>
      <c r="K137">
        <v>9.6579519999999992E-3</v>
      </c>
      <c r="L137">
        <f t="shared" si="10"/>
        <v>8.8967731758346161E-3</v>
      </c>
      <c r="M137">
        <f t="shared" si="11"/>
        <v>4.1712516300379098E-3</v>
      </c>
      <c r="N137">
        <f t="shared" si="12"/>
        <v>6.2361640536430585E-3</v>
      </c>
      <c r="O137">
        <f t="shared" si="13"/>
        <v>6.7451678425725237E-3</v>
      </c>
      <c r="P137">
        <f t="shared" si="14"/>
        <v>8.8355342053059033E-3</v>
      </c>
    </row>
    <row r="138" spans="1:16" x14ac:dyDescent="0.25">
      <c r="A138" s="2">
        <v>40424</v>
      </c>
      <c r="B138">
        <v>2.1845570000000002E-3</v>
      </c>
      <c r="C138">
        <v>6.1142590000000004E-3</v>
      </c>
      <c r="D138">
        <v>1.3132362999999999E-2</v>
      </c>
      <c r="E138">
        <v>8.3104170000000005E-3</v>
      </c>
      <c r="F138">
        <v>1.0575054E-2</v>
      </c>
      <c r="G138">
        <v>5.6434199999999997E-3</v>
      </c>
      <c r="H138">
        <v>-1.932773E-3</v>
      </c>
      <c r="I138">
        <v>9.5024519999999998E-3</v>
      </c>
      <c r="J138">
        <v>5.0497739999999999E-3</v>
      </c>
      <c r="K138">
        <v>6.1142590000000004E-3</v>
      </c>
      <c r="L138">
        <f t="shared" si="10"/>
        <v>1.4051311459371709E-2</v>
      </c>
      <c r="M138">
        <f t="shared" si="11"/>
        <v>6.54497577139985E-3</v>
      </c>
      <c r="N138">
        <f t="shared" si="12"/>
        <v>1.1029030826172567E-2</v>
      </c>
      <c r="O138">
        <f t="shared" si="13"/>
        <v>1.0690839557901744E-2</v>
      </c>
      <c r="P138">
        <f t="shared" si="14"/>
        <v>1.4432090407639903E-2</v>
      </c>
    </row>
    <row r="139" spans="1:16" x14ac:dyDescent="0.25">
      <c r="A139" s="2">
        <v>40427</v>
      </c>
      <c r="B139">
        <v>1.6727300000000001E-3</v>
      </c>
      <c r="C139">
        <v>5.5482960000000003E-3</v>
      </c>
      <c r="D139">
        <v>-1.1537451000000001E-2</v>
      </c>
      <c r="E139">
        <v>3.323122E-3</v>
      </c>
      <c r="F139">
        <v>2.0428260000000002E-3</v>
      </c>
      <c r="G139">
        <v>2.0330369000000001E-2</v>
      </c>
      <c r="H139">
        <v>1.019292E-3</v>
      </c>
      <c r="I139">
        <v>2.650618E-3</v>
      </c>
      <c r="J139">
        <v>7.3140740000000003E-3</v>
      </c>
      <c r="K139">
        <v>5.5482960000000003E-3</v>
      </c>
      <c r="L139">
        <f t="shared" si="10"/>
        <v>9.0076137194430098E-3</v>
      </c>
      <c r="M139">
        <f t="shared" si="11"/>
        <v>4.5686392734611055E-3</v>
      </c>
      <c r="N139">
        <f t="shared" si="12"/>
        <v>1.006180143438553E-2</v>
      </c>
      <c r="O139">
        <f t="shared" si="13"/>
        <v>8.9321480870855272E-3</v>
      </c>
      <c r="P139">
        <f t="shared" si="14"/>
        <v>9.3591883792758495E-3</v>
      </c>
    </row>
    <row r="140" spans="1:16" x14ac:dyDescent="0.25">
      <c r="A140" s="2">
        <v>40428</v>
      </c>
      <c r="B140">
        <v>-5.8139949999999998E-3</v>
      </c>
      <c r="C140">
        <v>-1.2223346E-2</v>
      </c>
      <c r="D140">
        <v>0</v>
      </c>
      <c r="E140">
        <v>-6.0539929999999997E-3</v>
      </c>
      <c r="F140">
        <v>-5.7896349999999996E-3</v>
      </c>
      <c r="G140">
        <v>-8.1307399999999991E-3</v>
      </c>
      <c r="H140">
        <v>-5.1068800000000003E-3</v>
      </c>
      <c r="I140">
        <v>-7.7609310000000004E-3</v>
      </c>
      <c r="J140">
        <v>-1.896565E-3</v>
      </c>
      <c r="K140">
        <v>-1.2223346E-2</v>
      </c>
      <c r="L140">
        <f t="shared" si="10"/>
        <v>-5.1766222353385981E-3</v>
      </c>
      <c r="M140">
        <f t="shared" si="11"/>
        <v>-9.1014317480590237E-4</v>
      </c>
      <c r="N140">
        <f t="shared" si="12"/>
        <v>-5.0957823136419033E-3</v>
      </c>
      <c r="O140">
        <f t="shared" si="13"/>
        <v>-4.8071732143486279E-3</v>
      </c>
      <c r="P140">
        <f t="shared" si="14"/>
        <v>-4.4564654482904444E-3</v>
      </c>
    </row>
    <row r="141" spans="1:16" x14ac:dyDescent="0.25">
      <c r="A141" s="2">
        <v>40429</v>
      </c>
      <c r="B141">
        <v>-2.2853650000000001E-3</v>
      </c>
      <c r="C141">
        <v>-2.284646E-3</v>
      </c>
      <c r="D141">
        <v>6.4180330000000001E-3</v>
      </c>
      <c r="E141">
        <v>7.5800310000000001E-3</v>
      </c>
      <c r="F141">
        <v>4.041528E-3</v>
      </c>
      <c r="G141">
        <v>-2.2071403E-2</v>
      </c>
      <c r="H141">
        <v>0</v>
      </c>
      <c r="I141">
        <v>6.1800869999999999E-3</v>
      </c>
      <c r="J141">
        <v>-3.641465E-3</v>
      </c>
      <c r="K141">
        <v>-2.284646E-3</v>
      </c>
      <c r="L141">
        <f t="shared" si="10"/>
        <v>1.4432155675939695E-3</v>
      </c>
      <c r="M141">
        <f t="shared" si="11"/>
        <v>2.2516881455313027E-3</v>
      </c>
      <c r="N141">
        <f t="shared" si="12"/>
        <v>-4.1100922766872192E-4</v>
      </c>
      <c r="O141">
        <f t="shared" si="13"/>
        <v>-4.416833425486997E-4</v>
      </c>
      <c r="P141">
        <f t="shared" si="14"/>
        <v>1.8974495699245267E-4</v>
      </c>
    </row>
    <row r="142" spans="1:16" x14ac:dyDescent="0.25">
      <c r="A142" s="2">
        <v>40434</v>
      </c>
      <c r="B142">
        <v>2.6892714000000002E-2</v>
      </c>
      <c r="C142">
        <v>3.6792574000000001E-2</v>
      </c>
      <c r="D142">
        <v>2.0741296999999999E-2</v>
      </c>
      <c r="E142">
        <v>1.5651222999999999E-2</v>
      </c>
      <c r="F142">
        <v>2.4702944000000001E-2</v>
      </c>
      <c r="G142">
        <v>3.2403706999999997E-2</v>
      </c>
      <c r="H142">
        <v>2.4161011E-2</v>
      </c>
      <c r="I142">
        <v>2.0395796000000001E-2</v>
      </c>
      <c r="J142">
        <v>2.2418509E-2</v>
      </c>
      <c r="K142">
        <v>3.6792574000000001E-2</v>
      </c>
      <c r="L142">
        <f t="shared" si="10"/>
        <v>3.1127895093570317E-2</v>
      </c>
      <c r="M142">
        <f t="shared" si="11"/>
        <v>1.572212895540934E-2</v>
      </c>
      <c r="N142">
        <f t="shared" si="12"/>
        <v>3.1185375589732452E-2</v>
      </c>
      <c r="O142">
        <f t="shared" si="13"/>
        <v>2.9298933859770362E-2</v>
      </c>
      <c r="P142">
        <f t="shared" si="14"/>
        <v>3.3447406718956171E-2</v>
      </c>
    </row>
    <row r="143" spans="1:16" x14ac:dyDescent="0.25">
      <c r="A143" s="2">
        <v>40435</v>
      </c>
      <c r="B143">
        <v>3.509248E-3</v>
      </c>
      <c r="C143">
        <v>9.56115E-4</v>
      </c>
      <c r="D143">
        <v>-7.1332999999999998E-4</v>
      </c>
      <c r="E143">
        <v>2.1903019999999999E-3</v>
      </c>
      <c r="F143">
        <v>3.41331E-4</v>
      </c>
      <c r="G143">
        <v>-2.4176850000000001E-3</v>
      </c>
      <c r="H143">
        <v>-4.9954789999999997E-3</v>
      </c>
      <c r="I143">
        <v>4.8469300000000002E-4</v>
      </c>
      <c r="J143">
        <v>1.65775E-4</v>
      </c>
      <c r="K143">
        <v>9.56115E-4</v>
      </c>
      <c r="L143">
        <f t="shared" si="10"/>
        <v>2.5920365376248785E-3</v>
      </c>
      <c r="M143">
        <f t="shared" si="11"/>
        <v>1.9021816098557024E-3</v>
      </c>
      <c r="N143">
        <f t="shared" si="12"/>
        <v>1.6269371088448771E-3</v>
      </c>
      <c r="O143">
        <f t="shared" si="13"/>
        <v>1.4560119033386492E-3</v>
      </c>
      <c r="P143">
        <f t="shared" si="14"/>
        <v>2.5874684156022656E-3</v>
      </c>
    </row>
    <row r="144" spans="1:16" x14ac:dyDescent="0.25">
      <c r="A144" s="2">
        <v>40436</v>
      </c>
      <c r="B144">
        <v>1.4597561E-2</v>
      </c>
      <c r="C144">
        <v>1.8699349000000001E-2</v>
      </c>
      <c r="D144">
        <v>3.53491E-3</v>
      </c>
      <c r="E144">
        <v>-2.1599589999999999E-3</v>
      </c>
      <c r="F144">
        <v>-2.121731E-3</v>
      </c>
      <c r="G144">
        <v>2.3093235E-2</v>
      </c>
      <c r="H144">
        <v>6.1119929999999996E-3</v>
      </c>
      <c r="I144">
        <v>-3.2911329999999999E-3</v>
      </c>
      <c r="J144">
        <v>3.3231939999999998E-3</v>
      </c>
      <c r="K144">
        <v>1.8699349000000001E-2</v>
      </c>
      <c r="L144">
        <f t="shared" si="10"/>
        <v>2.1393497954404176E-3</v>
      </c>
      <c r="M144">
        <f t="shared" si="11"/>
        <v>4.2211792107742663E-3</v>
      </c>
      <c r="N144">
        <f t="shared" si="12"/>
        <v>3.8825131980359064E-3</v>
      </c>
      <c r="O144">
        <f t="shared" si="13"/>
        <v>6.1667251564757634E-3</v>
      </c>
      <c r="P144">
        <f t="shared" si="14"/>
        <v>3.0471780236042117E-3</v>
      </c>
    </row>
    <row r="145" spans="1:16" x14ac:dyDescent="0.25">
      <c r="A145" s="2">
        <v>40437</v>
      </c>
      <c r="B145">
        <v>5.2717600000000003E-3</v>
      </c>
      <c r="C145">
        <v>6.2122219999999999E-3</v>
      </c>
      <c r="D145">
        <v>-3.64488E-4</v>
      </c>
      <c r="E145">
        <v>-1.9534000000000001E-3</v>
      </c>
      <c r="F145">
        <v>-2.7938770000000002E-3</v>
      </c>
      <c r="G145">
        <v>-7.4213999999999997E-4</v>
      </c>
      <c r="H145">
        <v>-6.5404959999999998E-3</v>
      </c>
      <c r="I145">
        <v>-3.3858270000000001E-3</v>
      </c>
      <c r="J145">
        <v>-4.8825819999999999E-3</v>
      </c>
      <c r="K145">
        <v>6.2122219999999999E-3</v>
      </c>
      <c r="L145">
        <f t="shared" si="10"/>
        <v>-4.1207671787267756E-3</v>
      </c>
      <c r="M145">
        <f t="shared" si="11"/>
        <v>3.6484894484183723E-4</v>
      </c>
      <c r="N145">
        <f t="shared" si="12"/>
        <v>-4.0290481695324743E-3</v>
      </c>
      <c r="O145">
        <f t="shared" si="13"/>
        <v>-2.1726391006589556E-3</v>
      </c>
      <c r="P145">
        <f t="shared" si="14"/>
        <v>-3.8310676810794368E-3</v>
      </c>
    </row>
    <row r="146" spans="1:16" x14ac:dyDescent="0.25">
      <c r="A146" s="2">
        <v>40438</v>
      </c>
      <c r="B146">
        <v>2.0254740000000002E-3</v>
      </c>
      <c r="C146">
        <v>-6.6432399999999999E-4</v>
      </c>
      <c r="D146">
        <v>8.2657499999999997E-4</v>
      </c>
      <c r="E146">
        <v>-6.403214E-3</v>
      </c>
      <c r="F146">
        <v>-5.7201969999999998E-3</v>
      </c>
      <c r="G146">
        <v>1.2185822000000001E-2</v>
      </c>
      <c r="H146">
        <v>-8.5194060000000002E-3</v>
      </c>
      <c r="I146">
        <v>-5.1196050000000002E-3</v>
      </c>
      <c r="J146">
        <v>3.1067360000000001E-3</v>
      </c>
      <c r="K146">
        <v>-6.6432399999999999E-4</v>
      </c>
      <c r="L146">
        <f t="shared" si="10"/>
        <v>5.3407195923854643E-3</v>
      </c>
      <c r="M146">
        <f t="shared" si="11"/>
        <v>1.2160347340957345E-3</v>
      </c>
      <c r="N146">
        <f t="shared" si="12"/>
        <v>2.4479402625165081E-3</v>
      </c>
      <c r="O146">
        <f t="shared" si="13"/>
        <v>1.7398040470489231E-3</v>
      </c>
      <c r="P146">
        <f t="shared" si="14"/>
        <v>4.8360673405115889E-3</v>
      </c>
    </row>
    <row r="147" spans="1:16" x14ac:dyDescent="0.25">
      <c r="A147" s="2">
        <v>40441</v>
      </c>
      <c r="B147">
        <v>6.672435E-3</v>
      </c>
      <c r="C147">
        <v>6.6035809999999999E-3</v>
      </c>
      <c r="D147">
        <v>1.5095292E-2</v>
      </c>
      <c r="E147">
        <v>1.3566698E-2</v>
      </c>
      <c r="F147">
        <v>1.6920573000000001E-2</v>
      </c>
      <c r="G147">
        <v>-2.4942549999999999E-3</v>
      </c>
      <c r="H147">
        <v>1.627783E-2</v>
      </c>
      <c r="I147">
        <v>1.4510754000000001E-2</v>
      </c>
      <c r="J147">
        <v>6.7711259999999997E-3</v>
      </c>
      <c r="K147">
        <v>6.6035809999999999E-3</v>
      </c>
      <c r="L147">
        <f t="shared" si="10"/>
        <v>1.2148540164301331E-2</v>
      </c>
      <c r="M147">
        <f t="shared" si="11"/>
        <v>9.0656465342488658E-3</v>
      </c>
      <c r="N147">
        <f t="shared" si="12"/>
        <v>1.3043811646993708E-2</v>
      </c>
      <c r="O147">
        <f t="shared" si="13"/>
        <v>1.3106801920747171E-2</v>
      </c>
      <c r="P147">
        <f t="shared" si="14"/>
        <v>1.3342335205754832E-2</v>
      </c>
    </row>
    <row r="148" spans="1:16" x14ac:dyDescent="0.25">
      <c r="A148" s="2">
        <v>40442</v>
      </c>
      <c r="B148">
        <v>-2.5673169999999999E-3</v>
      </c>
      <c r="C148">
        <v>3.2605500000000001E-4</v>
      </c>
      <c r="D148">
        <v>-2.567373E-3</v>
      </c>
      <c r="E148">
        <v>-2.959298E-3</v>
      </c>
      <c r="F148">
        <v>-4.7053859999999998E-3</v>
      </c>
      <c r="G148">
        <v>0</v>
      </c>
      <c r="H148">
        <v>-6.9311360000000001E-3</v>
      </c>
      <c r="I148">
        <v>-2.6362339999999999E-3</v>
      </c>
      <c r="J148">
        <v>7.9196099999999999E-4</v>
      </c>
      <c r="K148">
        <v>3.2605500000000001E-4</v>
      </c>
      <c r="L148">
        <f t="shared" si="10"/>
        <v>3.1764228494450017E-3</v>
      </c>
      <c r="M148">
        <f t="shared" si="11"/>
        <v>6.1564563909256159E-4</v>
      </c>
      <c r="N148">
        <f t="shared" si="12"/>
        <v>6.8248892285596241E-4</v>
      </c>
      <c r="O148">
        <f t="shared" si="13"/>
        <v>-4.2454148547504109E-4</v>
      </c>
      <c r="P148">
        <f t="shared" si="14"/>
        <v>2.0176603312617417E-3</v>
      </c>
    </row>
    <row r="149" spans="1:16" x14ac:dyDescent="0.25">
      <c r="A149" s="2">
        <v>40443</v>
      </c>
      <c r="B149">
        <v>5.5116679999999999E-3</v>
      </c>
      <c r="C149">
        <v>1.0378034E-2</v>
      </c>
      <c r="D149">
        <v>-4.8371730000000002E-3</v>
      </c>
      <c r="E149">
        <v>-1.0837708999999999E-2</v>
      </c>
      <c r="F149">
        <v>-4.3673289999999997E-3</v>
      </c>
      <c r="G149">
        <v>-3.7342690000000001E-3</v>
      </c>
      <c r="H149">
        <v>8.9089410000000001E-3</v>
      </c>
      <c r="I149">
        <v>-9.5403559999999998E-3</v>
      </c>
      <c r="J149">
        <v>3.1816899999999998E-4</v>
      </c>
      <c r="K149">
        <v>1.0378034E-2</v>
      </c>
      <c r="L149">
        <f t="shared" si="10"/>
        <v>-9.7933549540849332E-3</v>
      </c>
      <c r="M149">
        <f t="shared" si="11"/>
        <v>-2.4652810876587541E-4</v>
      </c>
      <c r="N149">
        <f t="shared" si="12"/>
        <v>-5.01756642491999E-3</v>
      </c>
      <c r="O149">
        <f t="shared" si="13"/>
        <v>-4.4221229760083147E-3</v>
      </c>
      <c r="P149">
        <f t="shared" si="14"/>
        <v>-7.4976185407566679E-3</v>
      </c>
    </row>
    <row r="150" spans="1:16" x14ac:dyDescent="0.25">
      <c r="A150" s="2">
        <v>40444</v>
      </c>
      <c r="B150">
        <v>-4.4538210000000002E-3</v>
      </c>
      <c r="C150">
        <v>-6.8895400000000004E-3</v>
      </c>
      <c r="D150">
        <v>-8.366175E-3</v>
      </c>
      <c r="E150">
        <v>-3.8118219999999999E-3</v>
      </c>
      <c r="F150">
        <v>-8.6494299999999996E-4</v>
      </c>
      <c r="G150">
        <v>-9.9433579999999994E-3</v>
      </c>
      <c r="H150">
        <v>6.8408000000000002E-3</v>
      </c>
      <c r="I150">
        <v>-4.1878239999999997E-3</v>
      </c>
      <c r="J150">
        <v>-2.37889E-4</v>
      </c>
      <c r="K150">
        <v>-6.8895400000000004E-3</v>
      </c>
      <c r="L150">
        <f t="shared" si="10"/>
        <v>-7.1458497398077508E-3</v>
      </c>
      <c r="M150">
        <f t="shared" si="11"/>
        <v>4.01515186405314E-4</v>
      </c>
      <c r="N150">
        <f t="shared" si="12"/>
        <v>-2.9755832363127423E-3</v>
      </c>
      <c r="O150">
        <f t="shared" si="13"/>
        <v>-3.066747753322773E-3</v>
      </c>
      <c r="P150">
        <f t="shared" si="14"/>
        <v>-5.5077525830493392E-3</v>
      </c>
    </row>
    <row r="151" spans="1:16" x14ac:dyDescent="0.25">
      <c r="A151" s="2">
        <v>40445</v>
      </c>
      <c r="B151">
        <v>7.6116900000000002E-4</v>
      </c>
      <c r="C151">
        <v>2.3149669999999998E-3</v>
      </c>
      <c r="D151">
        <v>2.0972838000000001E-2</v>
      </c>
      <c r="E151">
        <v>1.8199639E-2</v>
      </c>
      <c r="F151">
        <v>9.2234359999999998E-3</v>
      </c>
      <c r="G151">
        <v>0</v>
      </c>
      <c r="H151">
        <v>-8.7306199999999997E-3</v>
      </c>
      <c r="I151">
        <v>1.3605931E-2</v>
      </c>
      <c r="J151">
        <v>1.377145E-3</v>
      </c>
      <c r="K151">
        <v>2.3149669999999998E-3</v>
      </c>
      <c r="L151">
        <f t="shared" si="10"/>
        <v>1.7480200277457014E-2</v>
      </c>
      <c r="M151">
        <f t="shared" si="11"/>
        <v>7.112243827143188E-3</v>
      </c>
      <c r="N151">
        <f t="shared" si="12"/>
        <v>1.0626578290011228E-2</v>
      </c>
      <c r="O151">
        <f t="shared" si="13"/>
        <v>1.1355872380269248E-2</v>
      </c>
      <c r="P151">
        <f t="shared" si="14"/>
        <v>1.549166885264802E-2</v>
      </c>
    </row>
    <row r="152" spans="1:16" x14ac:dyDescent="0.25">
      <c r="A152" s="2">
        <v>40448</v>
      </c>
      <c r="B152">
        <v>5.9876590000000002E-3</v>
      </c>
      <c r="C152">
        <v>1.2779852E-2</v>
      </c>
      <c r="D152">
        <v>-5.6835449999999999E-3</v>
      </c>
      <c r="E152">
        <v>-3.0865419999999998E-3</v>
      </c>
      <c r="F152">
        <v>-4.4934240000000002E-3</v>
      </c>
      <c r="G152">
        <v>1.3784889999999999E-2</v>
      </c>
      <c r="H152">
        <v>9.050364E-3</v>
      </c>
      <c r="I152">
        <v>-4.6539069999999997E-3</v>
      </c>
      <c r="J152">
        <v>5.5335769999999996E-3</v>
      </c>
      <c r="K152">
        <v>1.2779852E-2</v>
      </c>
      <c r="L152">
        <f t="shared" si="10"/>
        <v>9.4141860276813474E-4</v>
      </c>
      <c r="M152">
        <f t="shared" si="11"/>
        <v>2.8760596504027753E-3</v>
      </c>
      <c r="N152">
        <f t="shared" si="12"/>
        <v>3.5109168472069541E-3</v>
      </c>
      <c r="O152">
        <f t="shared" si="13"/>
        <v>3.583808539738169E-3</v>
      </c>
      <c r="P152">
        <f t="shared" si="14"/>
        <v>1.4146889471368779E-3</v>
      </c>
    </row>
    <row r="153" spans="1:16" x14ac:dyDescent="0.25">
      <c r="A153" s="2">
        <v>40449</v>
      </c>
      <c r="B153">
        <v>1.4784495999999999E-2</v>
      </c>
      <c r="C153">
        <v>1.5942484E-2</v>
      </c>
      <c r="D153">
        <v>4.8387329999999996E-3</v>
      </c>
      <c r="E153">
        <v>-4.46038E-4</v>
      </c>
      <c r="F153">
        <v>8.9671599999999998E-4</v>
      </c>
      <c r="G153">
        <v>-1.1244745E-2</v>
      </c>
      <c r="H153">
        <v>5.9691290000000001E-3</v>
      </c>
      <c r="I153">
        <v>1.29939E-4</v>
      </c>
      <c r="J153">
        <v>-9.6579000000000001E-4</v>
      </c>
      <c r="K153">
        <v>1.5942484E-2</v>
      </c>
      <c r="L153">
        <f t="shared" si="10"/>
        <v>-1.7075413394039489E-3</v>
      </c>
      <c r="M153">
        <f t="shared" si="11"/>
        <v>1.9659081992832467E-3</v>
      </c>
      <c r="N153">
        <f t="shared" si="12"/>
        <v>-1.0844216825038988E-3</v>
      </c>
      <c r="O153">
        <f t="shared" si="13"/>
        <v>-7.2123215267611853E-4</v>
      </c>
      <c r="P153">
        <f t="shared" si="14"/>
        <v>-1.6169104892303642E-3</v>
      </c>
    </row>
    <row r="154" spans="1:16" x14ac:dyDescent="0.25">
      <c r="A154" s="2">
        <v>40450</v>
      </c>
      <c r="B154">
        <v>-5.8700099999999997E-4</v>
      </c>
      <c r="C154">
        <v>1.0183485000000001E-2</v>
      </c>
      <c r="D154">
        <v>-2.5911380000000002E-3</v>
      </c>
      <c r="E154">
        <v>-4.6586329999999997E-3</v>
      </c>
      <c r="F154">
        <v>-1.6326240000000001E-3</v>
      </c>
      <c r="G154">
        <v>6.6774879999999997E-3</v>
      </c>
      <c r="H154">
        <v>0</v>
      </c>
      <c r="I154">
        <v>-3.7232900000000002E-3</v>
      </c>
      <c r="J154">
        <v>6.1452590000000001E-3</v>
      </c>
      <c r="K154">
        <v>1.0183485000000001E-2</v>
      </c>
      <c r="L154">
        <f t="shared" si="10"/>
        <v>4.2151946135451507E-3</v>
      </c>
      <c r="M154">
        <f t="shared" si="11"/>
        <v>2.12524192924737E-3</v>
      </c>
      <c r="N154">
        <f t="shared" si="12"/>
        <v>4.3172763552627048E-3</v>
      </c>
      <c r="O154">
        <f t="shared" si="13"/>
        <v>2.8124127880225338E-3</v>
      </c>
      <c r="P154">
        <f t="shared" si="14"/>
        <v>5.1450030436280721E-3</v>
      </c>
    </row>
    <row r="155" spans="1:16" x14ac:dyDescent="0.25">
      <c r="A155" s="2">
        <v>40451</v>
      </c>
      <c r="B155">
        <v>3.3959860000000001E-3</v>
      </c>
      <c r="C155">
        <v>8.7890529999999998E-3</v>
      </c>
      <c r="D155">
        <v>-3.0884609999999998E-3</v>
      </c>
      <c r="E155">
        <v>-2.8695249999999999E-3</v>
      </c>
      <c r="F155">
        <v>-3.7237289999999998E-3</v>
      </c>
      <c r="G155">
        <v>-2.0079148000000002E-2</v>
      </c>
      <c r="H155">
        <v>2.9136460000000002E-3</v>
      </c>
      <c r="I155">
        <v>-2.0521229999999999E-3</v>
      </c>
      <c r="J155">
        <v>3.51221E-3</v>
      </c>
      <c r="K155">
        <v>8.7890529999999998E-3</v>
      </c>
      <c r="L155">
        <f t="shared" si="10"/>
        <v>1.6857254157615392E-3</v>
      </c>
      <c r="M155">
        <f t="shared" si="11"/>
        <v>1.1910037018529043E-4</v>
      </c>
      <c r="N155">
        <f t="shared" si="12"/>
        <v>2.3813385746513987E-4</v>
      </c>
      <c r="O155">
        <f t="shared" si="13"/>
        <v>-3.1657702541618262E-3</v>
      </c>
      <c r="P155">
        <f t="shared" si="14"/>
        <v>4.4370914944527389E-4</v>
      </c>
    </row>
    <row r="156" spans="1:16" x14ac:dyDescent="0.25">
      <c r="A156" s="2">
        <v>40452</v>
      </c>
      <c r="B156">
        <v>-1.3648916000000001E-2</v>
      </c>
      <c r="C156">
        <v>-1.0596542E-2</v>
      </c>
      <c r="D156">
        <v>4.4066799999999996E-3</v>
      </c>
      <c r="E156">
        <v>-2.8423630000000001E-3</v>
      </c>
      <c r="F156">
        <v>7.9522929999999992E-3</v>
      </c>
      <c r="G156">
        <v>3.7158650000000001E-3</v>
      </c>
      <c r="H156">
        <v>1.1442280000000001E-2</v>
      </c>
      <c r="I156" s="1">
        <v>-5.6392199999999999E-5</v>
      </c>
      <c r="J156">
        <v>5.174924E-3</v>
      </c>
      <c r="K156">
        <v>-1.0596542E-2</v>
      </c>
      <c r="L156">
        <f t="shared" si="10"/>
        <v>2.2802008272987699E-4</v>
      </c>
      <c r="M156">
        <f t="shared" si="11"/>
        <v>4.4274446040892187E-3</v>
      </c>
      <c r="N156">
        <f t="shared" si="12"/>
        <v>4.5782857448553203E-3</v>
      </c>
      <c r="O156">
        <f t="shared" si="13"/>
        <v>5.1003820343257424E-3</v>
      </c>
      <c r="P156">
        <f t="shared" si="14"/>
        <v>3.9306180964770046E-3</v>
      </c>
    </row>
    <row r="157" spans="1:16" x14ac:dyDescent="0.25">
      <c r="A157" s="2">
        <v>40455</v>
      </c>
      <c r="B157">
        <v>8.1694929999999999E-3</v>
      </c>
      <c r="C157">
        <v>8.2422060000000002E-3</v>
      </c>
      <c r="D157">
        <v>-8.067421E-3</v>
      </c>
      <c r="E157">
        <v>-1.2495353000000001E-2</v>
      </c>
      <c r="F157">
        <v>-6.6195109999999998E-3</v>
      </c>
      <c r="G157">
        <v>-2.4668250000000002E-3</v>
      </c>
      <c r="H157">
        <v>2.218841E-3</v>
      </c>
      <c r="I157">
        <v>-8.4192209999999993E-3</v>
      </c>
      <c r="J157">
        <v>4.9254640000000001E-3</v>
      </c>
      <c r="K157">
        <v>8.2422060000000002E-3</v>
      </c>
      <c r="L157">
        <f t="shared" si="10"/>
        <v>-1.0920201259180802E-3</v>
      </c>
      <c r="M157">
        <f t="shared" si="11"/>
        <v>-6.2822336502552914E-4</v>
      </c>
      <c r="N157">
        <f t="shared" si="12"/>
        <v>-4.5325097970297552E-4</v>
      </c>
      <c r="O157">
        <f t="shared" si="13"/>
        <v>-3.1839678349234483E-3</v>
      </c>
      <c r="P157">
        <f t="shared" si="14"/>
        <v>-6.9886647223923624E-4</v>
      </c>
    </row>
    <row r="158" spans="1:16" x14ac:dyDescent="0.25">
      <c r="A158" s="2">
        <v>40456</v>
      </c>
      <c r="B158">
        <v>1.3186098E-2</v>
      </c>
      <c r="C158">
        <v>1.1309614000000001E-2</v>
      </c>
      <c r="D158">
        <v>2.0646747999999999E-2</v>
      </c>
      <c r="E158">
        <v>1.3217962999999999E-2</v>
      </c>
      <c r="F158">
        <v>1.4260682E-2</v>
      </c>
      <c r="G158">
        <v>1.4571825E-2</v>
      </c>
      <c r="H158">
        <v>1.2677697999999999E-2</v>
      </c>
      <c r="I158">
        <v>1.5770769E-2</v>
      </c>
      <c r="J158">
        <v>3.4817820000000001E-3</v>
      </c>
      <c r="K158">
        <v>1.1309614000000001E-2</v>
      </c>
      <c r="L158">
        <f t="shared" si="10"/>
        <v>1.4934887662387116E-2</v>
      </c>
      <c r="M158">
        <f t="shared" si="11"/>
        <v>1.0047173217161696E-2</v>
      </c>
      <c r="N158">
        <f t="shared" si="12"/>
        <v>1.3353471967159337E-2</v>
      </c>
      <c r="O158">
        <f t="shared" si="13"/>
        <v>1.5618104911230904E-2</v>
      </c>
      <c r="P158">
        <f t="shared" si="14"/>
        <v>1.4256261826200201E-2</v>
      </c>
    </row>
    <row r="159" spans="1:16" x14ac:dyDescent="0.25">
      <c r="A159" s="2">
        <v>40457</v>
      </c>
      <c r="B159">
        <v>8.9591570000000006E-3</v>
      </c>
      <c r="C159">
        <v>2.7594180999999999E-2</v>
      </c>
      <c r="D159">
        <v>-6.7220500000000005E-4</v>
      </c>
      <c r="E159">
        <v>8.7935110000000004E-3</v>
      </c>
      <c r="F159">
        <v>8.0585740000000006E-3</v>
      </c>
      <c r="G159">
        <v>1.7977402E-2</v>
      </c>
      <c r="H159">
        <v>-1.0463769E-2</v>
      </c>
      <c r="I159">
        <v>7.3649359999999999E-3</v>
      </c>
      <c r="J159">
        <v>4.9542630000000004E-3</v>
      </c>
      <c r="K159">
        <v>2.7594180999999999E-2</v>
      </c>
      <c r="L159">
        <f t="shared" si="10"/>
        <v>1.3608949456699274E-2</v>
      </c>
      <c r="M159">
        <f t="shared" si="11"/>
        <v>5.6205456235080969E-3</v>
      </c>
      <c r="N159">
        <f t="shared" si="12"/>
        <v>1.1566195238446545E-2</v>
      </c>
      <c r="O159">
        <f t="shared" si="13"/>
        <v>1.1282792450708885E-2</v>
      </c>
      <c r="P159">
        <f t="shared" si="14"/>
        <v>1.4406858469046999E-2</v>
      </c>
    </row>
    <row r="160" spans="1:16" x14ac:dyDescent="0.25">
      <c r="A160" s="2">
        <v>40458</v>
      </c>
      <c r="B160">
        <v>-1.8074110000000001E-3</v>
      </c>
      <c r="C160">
        <v>8.8612900000000004E-4</v>
      </c>
      <c r="D160">
        <v>-1.6479509999999999E-3</v>
      </c>
      <c r="E160">
        <v>8.7989299999999997E-4</v>
      </c>
      <c r="F160">
        <v>-3.4028330000000001E-3</v>
      </c>
      <c r="G160">
        <v>-6.8331100000000003E-4</v>
      </c>
      <c r="H160">
        <v>-8.8709740000000002E-3</v>
      </c>
      <c r="I160" s="1">
        <v>7.7618499999999996E-5</v>
      </c>
      <c r="J160">
        <v>-5.2921310000000003E-3</v>
      </c>
      <c r="K160">
        <v>8.8612900000000004E-4</v>
      </c>
      <c r="L160">
        <f t="shared" si="10"/>
        <v>-5.0762653406443304E-5</v>
      </c>
      <c r="M160">
        <f t="shared" si="11"/>
        <v>6.6792061422886397E-4</v>
      </c>
      <c r="N160">
        <f t="shared" si="12"/>
        <v>-2.273770731484204E-3</v>
      </c>
      <c r="O160">
        <f t="shared" si="13"/>
        <v>-1.1569188403646078E-3</v>
      </c>
      <c r="P160">
        <f t="shared" si="14"/>
        <v>-1.7137807501393125E-3</v>
      </c>
    </row>
    <row r="161" spans="1:16" x14ac:dyDescent="0.25">
      <c r="A161" s="2">
        <v>40459</v>
      </c>
      <c r="B161">
        <v>6.841092E-3</v>
      </c>
      <c r="C161">
        <v>1.96004E-4</v>
      </c>
      <c r="D161">
        <v>6.1036429999999997E-3</v>
      </c>
      <c r="E161">
        <v>2.4538680000000001E-3</v>
      </c>
      <c r="F161">
        <v>-7.95074E-4</v>
      </c>
      <c r="G161">
        <v>-9.9545850000000002E-3</v>
      </c>
      <c r="H161">
        <v>1.2662984E-2</v>
      </c>
      <c r="I161">
        <v>-7.1555299999999996E-4</v>
      </c>
      <c r="J161">
        <v>9.7749699999999991E-4</v>
      </c>
      <c r="K161">
        <v>1.96004E-4</v>
      </c>
      <c r="L161">
        <f t="shared" si="10"/>
        <v>-2.1255469015457498E-3</v>
      </c>
      <c r="M161">
        <f t="shared" si="11"/>
        <v>2.8862799970093026E-3</v>
      </c>
      <c r="N161">
        <f t="shared" si="12"/>
        <v>-3.1582494419072423E-4</v>
      </c>
      <c r="O161">
        <f t="shared" si="13"/>
        <v>5.1537777515832926E-4</v>
      </c>
      <c r="P161">
        <f t="shared" si="14"/>
        <v>-2.1016079092749983E-3</v>
      </c>
    </row>
    <row r="162" spans="1:16" x14ac:dyDescent="0.25">
      <c r="A162" s="2">
        <v>40462</v>
      </c>
      <c r="B162">
        <v>2.6176162999999999E-2</v>
      </c>
      <c r="C162">
        <v>3.7795035999999997E-2</v>
      </c>
      <c r="D162">
        <v>1.4589299999999999E-4</v>
      </c>
      <c r="E162">
        <v>2.8314830000000001E-3</v>
      </c>
      <c r="F162">
        <v>2.612535E-3</v>
      </c>
      <c r="G162">
        <v>-2.1103646E-2</v>
      </c>
      <c r="H162">
        <v>1.9329130000000001E-3</v>
      </c>
      <c r="I162">
        <v>3.0237129999999999E-3</v>
      </c>
      <c r="J162">
        <v>3.226381E-3</v>
      </c>
      <c r="K162">
        <v>3.7795035999999997E-2</v>
      </c>
      <c r="L162">
        <f t="shared" si="10"/>
        <v>4.2296751576176381E-3</v>
      </c>
      <c r="M162">
        <f t="shared" si="11"/>
        <v>1.7959738274927186E-3</v>
      </c>
      <c r="N162">
        <f t="shared" si="12"/>
        <v>2.8516999299718704E-3</v>
      </c>
      <c r="O162">
        <f t="shared" si="13"/>
        <v>-5.5127728683847721E-5</v>
      </c>
      <c r="P162">
        <f t="shared" si="14"/>
        <v>3.700987902059472E-3</v>
      </c>
    </row>
    <row r="163" spans="1:16" x14ac:dyDescent="0.25">
      <c r="A163" s="2">
        <v>40463</v>
      </c>
      <c r="B163">
        <v>9.7367970000000002E-3</v>
      </c>
      <c r="C163">
        <v>3.7386800000000002E-4</v>
      </c>
      <c r="D163">
        <v>3.8114210000000002E-3</v>
      </c>
      <c r="E163">
        <v>-7.8325200000000002E-4</v>
      </c>
      <c r="F163">
        <v>-1.9057709999999999E-3</v>
      </c>
      <c r="G163">
        <v>0</v>
      </c>
      <c r="H163">
        <v>1.0222986999999999E-2</v>
      </c>
      <c r="I163">
        <v>-2.811905E-3</v>
      </c>
      <c r="J163">
        <v>-4.0851439999999998E-3</v>
      </c>
      <c r="K163">
        <v>3.7386800000000002E-4</v>
      </c>
      <c r="L163">
        <f t="shared" si="10"/>
        <v>-7.5061937288871967E-3</v>
      </c>
      <c r="M163">
        <f t="shared" si="11"/>
        <v>2.2003456781506218E-3</v>
      </c>
      <c r="N163">
        <f t="shared" si="12"/>
        <v>-4.1036974222481192E-3</v>
      </c>
      <c r="O163">
        <f t="shared" si="13"/>
        <v>-7.4692358811952989E-4</v>
      </c>
      <c r="P163">
        <f t="shared" si="14"/>
        <v>-6.9017988930429128E-3</v>
      </c>
    </row>
    <row r="164" spans="1:16" x14ac:dyDescent="0.25">
      <c r="A164" s="2">
        <v>40464</v>
      </c>
      <c r="B164">
        <v>7.033826E-3</v>
      </c>
      <c r="C164">
        <v>1.5684163000000001E-2</v>
      </c>
      <c r="D164">
        <v>7.0958230000000002E-3</v>
      </c>
      <c r="E164">
        <v>2.0402479000000001E-2</v>
      </c>
      <c r="F164">
        <v>1.5041041E-2</v>
      </c>
      <c r="G164">
        <v>1.582576E-3</v>
      </c>
      <c r="H164">
        <v>0</v>
      </c>
      <c r="I164">
        <v>1.6923240999999999E-2</v>
      </c>
      <c r="J164">
        <v>1.1802246000000001E-2</v>
      </c>
      <c r="K164">
        <v>1.5684163000000001E-2</v>
      </c>
      <c r="L164">
        <f t="shared" si="10"/>
        <v>2.3552024256071544E-2</v>
      </c>
      <c r="M164">
        <f t="shared" si="11"/>
        <v>9.0159054692210468E-3</v>
      </c>
      <c r="N164">
        <f t="shared" si="12"/>
        <v>1.9696503628244551E-2</v>
      </c>
      <c r="O164">
        <f t="shared" si="13"/>
        <v>1.6572980619577082E-2</v>
      </c>
      <c r="P164">
        <f t="shared" si="14"/>
        <v>2.3103999053003258E-2</v>
      </c>
    </row>
    <row r="165" spans="1:16" x14ac:dyDescent="0.25">
      <c r="A165" s="2">
        <v>40465</v>
      </c>
      <c r="B165">
        <v>-1.3504077E-2</v>
      </c>
      <c r="C165">
        <v>-4.1285209999999996E-3</v>
      </c>
      <c r="D165">
        <v>-3.6481030000000002E-3</v>
      </c>
      <c r="E165">
        <v>3.2196049999999999E-3</v>
      </c>
      <c r="F165">
        <v>-3.5208240000000001E-3</v>
      </c>
      <c r="G165">
        <v>1.8960889000000002E-2</v>
      </c>
      <c r="H165">
        <v>2.37154E-4</v>
      </c>
      <c r="I165">
        <v>-2.618464E-3</v>
      </c>
      <c r="J165">
        <v>5.0348550000000004E-3</v>
      </c>
      <c r="K165">
        <v>-4.1285209999999996E-3</v>
      </c>
      <c r="L165">
        <f t="shared" si="10"/>
        <v>4.7381132780355412E-3</v>
      </c>
      <c r="M165">
        <f t="shared" si="11"/>
        <v>3.6978925083691106E-3</v>
      </c>
      <c r="N165">
        <f t="shared" si="12"/>
        <v>5.5258721941534852E-3</v>
      </c>
      <c r="O165">
        <f t="shared" si="13"/>
        <v>6.3202299860560538E-3</v>
      </c>
      <c r="P165">
        <f t="shared" si="14"/>
        <v>5.0683219532868598E-3</v>
      </c>
    </row>
    <row r="166" spans="1:16" x14ac:dyDescent="0.25">
      <c r="A166" s="2">
        <v>40466</v>
      </c>
      <c r="B166">
        <v>1.2567728E-2</v>
      </c>
      <c r="C166">
        <v>7.6884950000000001E-3</v>
      </c>
      <c r="D166">
        <v>2.0255329999999999E-3</v>
      </c>
      <c r="E166">
        <v>5.7200080000000004E-3</v>
      </c>
      <c r="F166">
        <v>-4.1642670000000001E-3</v>
      </c>
      <c r="G166">
        <v>-8.7257989999999994E-3</v>
      </c>
      <c r="H166">
        <v>1.9230510000000001E-3</v>
      </c>
      <c r="I166">
        <v>-8.5112999999999996E-4</v>
      </c>
      <c r="J166">
        <v>-3.1618029999999999E-3</v>
      </c>
      <c r="K166">
        <v>7.6884950000000001E-3</v>
      </c>
      <c r="L166">
        <f t="shared" si="10"/>
        <v>-2.5677530359665569E-3</v>
      </c>
      <c r="M166">
        <f t="shared" si="11"/>
        <v>1.5981825011502785E-3</v>
      </c>
      <c r="N166">
        <f t="shared" si="12"/>
        <v>-2.607083909210002E-3</v>
      </c>
      <c r="O166">
        <f t="shared" si="13"/>
        <v>-1.0535187160249113E-3</v>
      </c>
      <c r="P166">
        <f t="shared" si="14"/>
        <v>-3.794491692413931E-3</v>
      </c>
    </row>
    <row r="167" spans="1:16" x14ac:dyDescent="0.25">
      <c r="A167" s="2">
        <v>40469</v>
      </c>
      <c r="B167">
        <v>5.0764479999999999E-3</v>
      </c>
      <c r="C167">
        <v>-8.1409800000000008E-3</v>
      </c>
      <c r="D167">
        <v>7.2176180000000003E-3</v>
      </c>
      <c r="E167">
        <v>3.7405120000000001E-3</v>
      </c>
      <c r="F167">
        <v>6.8321670000000001E-3</v>
      </c>
      <c r="G167">
        <v>-1.8527499999999999E-4</v>
      </c>
      <c r="H167">
        <v>-1.3095019999999999E-3</v>
      </c>
      <c r="I167">
        <v>3.8269939999999998E-3</v>
      </c>
      <c r="J167">
        <v>-5.2279739999999998E-3</v>
      </c>
      <c r="K167">
        <v>-8.1409800000000008E-3</v>
      </c>
      <c r="L167">
        <f t="shared" si="10"/>
        <v>-1.7189258706097024E-3</v>
      </c>
      <c r="M167">
        <f t="shared" si="11"/>
        <v>3.3689490215866634E-3</v>
      </c>
      <c r="N167">
        <f t="shared" si="12"/>
        <v>-5.2380662185597593E-4</v>
      </c>
      <c r="O167">
        <f t="shared" si="13"/>
        <v>2.6118986364962169E-3</v>
      </c>
      <c r="P167">
        <f t="shared" si="14"/>
        <v>-2.8272610341812179E-4</v>
      </c>
    </row>
    <row r="168" spans="1:16" x14ac:dyDescent="0.25">
      <c r="A168" s="2">
        <v>40470</v>
      </c>
      <c r="B168">
        <v>-8.8276320000000002E-3</v>
      </c>
      <c r="C168">
        <v>-7.6958809999999999E-3</v>
      </c>
      <c r="D168">
        <v>-1.6004698000000001E-2</v>
      </c>
      <c r="E168">
        <v>-3.9885290000000002E-3</v>
      </c>
      <c r="F168">
        <v>-6.7445040000000001E-3</v>
      </c>
      <c r="G168">
        <v>4.3029929999999997E-3</v>
      </c>
      <c r="H168">
        <v>-2.6442218999999999E-2</v>
      </c>
      <c r="I168">
        <v>-4.7529199999999999E-3</v>
      </c>
      <c r="J168">
        <v>-6.0337200000000002E-3</v>
      </c>
      <c r="K168">
        <v>-7.6958809999999999E-3</v>
      </c>
      <c r="L168">
        <f t="shared" si="10"/>
        <v>-9.9579468299593752E-4</v>
      </c>
      <c r="M168">
        <f t="shared" si="11"/>
        <v>-2.4587163545417823E-3</v>
      </c>
      <c r="N168">
        <f t="shared" si="12"/>
        <v>-3.9551424921777092E-3</v>
      </c>
      <c r="O168">
        <f t="shared" si="13"/>
        <v>-4.2134079819353002E-3</v>
      </c>
      <c r="P168">
        <f t="shared" si="14"/>
        <v>-1.8338695291821579E-3</v>
      </c>
    </row>
    <row r="169" spans="1:16" x14ac:dyDescent="0.25">
      <c r="A169" s="2">
        <v>40471</v>
      </c>
      <c r="B169">
        <v>-6.8132269999999998E-3</v>
      </c>
      <c r="C169">
        <v>-1.1326734999999999E-2</v>
      </c>
      <c r="D169">
        <v>1.0469066000000001E-2</v>
      </c>
      <c r="E169">
        <v>5.2031430000000004E-3</v>
      </c>
      <c r="F169">
        <v>4.3733890000000001E-3</v>
      </c>
      <c r="G169">
        <v>-1.6685508000000002E-2</v>
      </c>
      <c r="H169">
        <v>7.7137880000000001E-3</v>
      </c>
      <c r="I169">
        <v>4.3816380000000002E-3</v>
      </c>
      <c r="J169">
        <v>4.4237500000000001E-4</v>
      </c>
      <c r="K169">
        <v>-1.1326734999999999E-2</v>
      </c>
      <c r="L169">
        <f t="shared" si="10"/>
        <v>2.2175813107805304E-3</v>
      </c>
      <c r="M169">
        <f t="shared" si="11"/>
        <v>3.4822485066280306E-3</v>
      </c>
      <c r="N169">
        <f t="shared" si="12"/>
        <v>1.7299242880819217E-3</v>
      </c>
      <c r="O169">
        <f t="shared" si="13"/>
        <v>1.6886009591523712E-3</v>
      </c>
      <c r="P169">
        <f t="shared" si="14"/>
        <v>1.9472705212346293E-3</v>
      </c>
    </row>
    <row r="170" spans="1:16" x14ac:dyDescent="0.25">
      <c r="A170" s="2">
        <v>40472</v>
      </c>
      <c r="B170">
        <v>1.5531853E-2</v>
      </c>
      <c r="C170">
        <v>2.2096172000000001E-2</v>
      </c>
      <c r="D170">
        <v>1.772366E-3</v>
      </c>
      <c r="E170">
        <v>1.3164456E-2</v>
      </c>
      <c r="F170">
        <v>5.0492849999999997E-3</v>
      </c>
      <c r="G170">
        <v>-5.4589799999999996E-4</v>
      </c>
      <c r="H170">
        <v>-1.0752869E-2</v>
      </c>
      <c r="I170">
        <v>8.5048069999999996E-3</v>
      </c>
      <c r="J170">
        <v>4.9848669999999996E-3</v>
      </c>
      <c r="K170">
        <v>2.2096172000000001E-2</v>
      </c>
      <c r="L170">
        <f t="shared" si="10"/>
        <v>1.5081907682763877E-2</v>
      </c>
      <c r="M170">
        <f t="shared" si="11"/>
        <v>4.6326489749712353E-3</v>
      </c>
      <c r="N170">
        <f t="shared" si="12"/>
        <v>1.0374466537933041E-2</v>
      </c>
      <c r="O170">
        <f t="shared" si="13"/>
        <v>8.3516947571652678E-3</v>
      </c>
      <c r="P170">
        <f t="shared" si="14"/>
        <v>1.3781896799435426E-2</v>
      </c>
    </row>
    <row r="171" spans="1:16" x14ac:dyDescent="0.25">
      <c r="A171" s="2">
        <v>40473</v>
      </c>
      <c r="B171">
        <v>7.86829E-3</v>
      </c>
      <c r="C171">
        <v>1.7962900000000001E-3</v>
      </c>
      <c r="D171">
        <v>2.3864540000000001E-3</v>
      </c>
      <c r="E171">
        <v>-7.82335E-4</v>
      </c>
      <c r="F171">
        <v>-2.8697420000000002E-3</v>
      </c>
      <c r="G171">
        <v>5.3427229999999997E-3</v>
      </c>
      <c r="H171">
        <v>-1.753101E-3</v>
      </c>
      <c r="I171">
        <v>-2.5109099999999999E-3</v>
      </c>
      <c r="J171" s="1">
        <v>8.9246200000000006E-5</v>
      </c>
      <c r="K171">
        <v>1.7962900000000001E-3</v>
      </c>
      <c r="L171">
        <f t="shared" si="10"/>
        <v>1.0537010105467638E-3</v>
      </c>
      <c r="M171">
        <f t="shared" si="11"/>
        <v>2.0491653194953953E-3</v>
      </c>
      <c r="N171">
        <f t="shared" si="12"/>
        <v>5.4084577941952987E-4</v>
      </c>
      <c r="O171">
        <f t="shared" si="13"/>
        <v>1.5393507792806052E-3</v>
      </c>
      <c r="P171">
        <f t="shared" si="14"/>
        <v>9.6085009091532374E-4</v>
      </c>
    </row>
    <row r="172" spans="1:16" x14ac:dyDescent="0.25">
      <c r="A172" s="2">
        <v>40476</v>
      </c>
      <c r="B172">
        <v>-1.1693039999999999E-3</v>
      </c>
      <c r="C172">
        <v>8.5209750000000001E-3</v>
      </c>
      <c r="D172">
        <v>2.144637E-3</v>
      </c>
      <c r="E172">
        <v>5.0388739999999996E-3</v>
      </c>
      <c r="F172">
        <v>1.844537E-3</v>
      </c>
      <c r="G172">
        <v>-2.7140630000000001E-3</v>
      </c>
      <c r="H172">
        <v>7.1885600000000003E-4</v>
      </c>
      <c r="I172">
        <v>2.4971450000000001E-3</v>
      </c>
      <c r="J172">
        <v>6.8811870000000004E-3</v>
      </c>
      <c r="K172">
        <v>8.5209750000000001E-3</v>
      </c>
      <c r="L172">
        <f t="shared" si="10"/>
        <v>9.1053694532703018E-3</v>
      </c>
      <c r="M172">
        <f t="shared" si="11"/>
        <v>3.7556155051066209E-3</v>
      </c>
      <c r="N172">
        <f t="shared" si="12"/>
        <v>7.4098178512602775E-3</v>
      </c>
      <c r="O172">
        <f t="shared" si="13"/>
        <v>5.3287064971020469E-3</v>
      </c>
      <c r="P172">
        <f t="shared" si="14"/>
        <v>8.8928914354064938E-3</v>
      </c>
    </row>
    <row r="173" spans="1:16" x14ac:dyDescent="0.25">
      <c r="A173" s="2">
        <v>40477</v>
      </c>
      <c r="B173">
        <v>-2.500309E-3</v>
      </c>
      <c r="C173">
        <v>-6.4019259999999996E-3</v>
      </c>
      <c r="D173" s="1">
        <v>1.68687E-5</v>
      </c>
      <c r="E173">
        <v>-3.834605E-3</v>
      </c>
      <c r="F173">
        <v>-7.8015630000000001E-3</v>
      </c>
      <c r="G173">
        <v>-2.5326799999999998E-3</v>
      </c>
      <c r="H173">
        <v>1.6534014E-2</v>
      </c>
      <c r="I173">
        <v>-6.2403090000000003E-3</v>
      </c>
      <c r="J173">
        <v>2.830117E-3</v>
      </c>
      <c r="K173">
        <v>-6.4019259999999996E-3</v>
      </c>
      <c r="L173">
        <f t="shared" si="10"/>
        <v>-4.1763937782139295E-3</v>
      </c>
      <c r="M173">
        <f t="shared" si="11"/>
        <v>1.7141048607900247E-3</v>
      </c>
      <c r="N173">
        <f t="shared" si="12"/>
        <v>-1.5532647184394442E-3</v>
      </c>
      <c r="O173">
        <f t="shared" si="13"/>
        <v>-1.2134298094611552E-3</v>
      </c>
      <c r="P173">
        <f t="shared" si="14"/>
        <v>-4.8116618929720748E-3</v>
      </c>
    </row>
    <row r="174" spans="1:16" x14ac:dyDescent="0.25">
      <c r="A174" s="2">
        <v>40478</v>
      </c>
      <c r="B174">
        <v>-3.0981287999999999E-2</v>
      </c>
      <c r="C174">
        <v>-4.2735495999999998E-2</v>
      </c>
      <c r="D174">
        <v>-2.6941560000000001E-3</v>
      </c>
      <c r="E174">
        <v>-6.9490029999999996E-3</v>
      </c>
      <c r="F174">
        <v>-1.0798726999999999E-2</v>
      </c>
      <c r="G174">
        <v>1.028543E-3</v>
      </c>
      <c r="H174">
        <v>-2.4202289999999999E-3</v>
      </c>
      <c r="I174">
        <v>-7.7580499999999998E-3</v>
      </c>
      <c r="J174">
        <v>-1.0151847E-2</v>
      </c>
      <c r="K174">
        <v>-4.2735495999999998E-2</v>
      </c>
      <c r="L174">
        <f t="shared" si="10"/>
        <v>-1.1247793991160037E-2</v>
      </c>
      <c r="M174">
        <f t="shared" si="11"/>
        <v>-1.5242697454450815E-3</v>
      </c>
      <c r="N174">
        <f t="shared" si="12"/>
        <v>-1.0535404179602761E-2</v>
      </c>
      <c r="O174">
        <f t="shared" si="13"/>
        <v>-6.9727989043492566E-3</v>
      </c>
      <c r="P174">
        <f t="shared" si="14"/>
        <v>-1.2726603300833587E-2</v>
      </c>
    </row>
    <row r="175" spans="1:16" x14ac:dyDescent="0.25">
      <c r="A175" s="2">
        <v>40483</v>
      </c>
      <c r="B175">
        <v>7.0581430000000002E-3</v>
      </c>
      <c r="C175">
        <v>1.4432573000000001E-2</v>
      </c>
      <c r="D175">
        <v>1.630874E-3</v>
      </c>
      <c r="E175">
        <v>5.5963699999999998E-3</v>
      </c>
      <c r="F175">
        <v>8.5710279999999996E-3</v>
      </c>
      <c r="G175">
        <v>-2.5059356000000001E-2</v>
      </c>
      <c r="H175">
        <v>1.3959278E-2</v>
      </c>
      <c r="I175">
        <v>4.2397550000000004E-3</v>
      </c>
      <c r="J175">
        <v>1.4253551E-2</v>
      </c>
      <c r="K175">
        <v>1.4432573000000001E-2</v>
      </c>
      <c r="L175">
        <f t="shared" si="10"/>
        <v>9.4652834926178594E-3</v>
      </c>
      <c r="M175">
        <f t="shared" si="11"/>
        <v>4.4337338019424261E-3</v>
      </c>
      <c r="N175">
        <f t="shared" si="12"/>
        <v>1.0611555318212226E-2</v>
      </c>
      <c r="O175">
        <f t="shared" si="13"/>
        <v>5.0361182743532476E-3</v>
      </c>
      <c r="P175">
        <f t="shared" si="14"/>
        <v>1.1338973340285686E-2</v>
      </c>
    </row>
    <row r="176" spans="1:16" x14ac:dyDescent="0.25">
      <c r="A176" s="2">
        <v>40484</v>
      </c>
      <c r="B176">
        <v>-8.0252450000000003E-3</v>
      </c>
      <c r="C176">
        <v>-1.306691E-3</v>
      </c>
      <c r="D176">
        <v>7.7293850000000001E-3</v>
      </c>
      <c r="E176">
        <v>7.4590230000000004E-3</v>
      </c>
      <c r="F176">
        <v>1.0967627000000001E-2</v>
      </c>
      <c r="G176">
        <v>5.7440200000000001E-4</v>
      </c>
      <c r="H176">
        <v>4.7955710000000002E-3</v>
      </c>
      <c r="I176">
        <v>7.9554970000000006E-3</v>
      </c>
      <c r="J176">
        <v>4.6551600000000002E-4</v>
      </c>
      <c r="K176">
        <v>-1.306691E-3</v>
      </c>
      <c r="L176">
        <f t="shared" si="10"/>
        <v>4.4521064373752627E-3</v>
      </c>
      <c r="M176">
        <f t="shared" si="11"/>
        <v>5.6007955079104606E-3</v>
      </c>
      <c r="N176">
        <f t="shared" si="12"/>
        <v>5.7046849498320184E-3</v>
      </c>
      <c r="O176">
        <f t="shared" si="13"/>
        <v>7.2119732433138994E-3</v>
      </c>
      <c r="P176">
        <f t="shared" si="14"/>
        <v>5.9702310604350488E-3</v>
      </c>
    </row>
    <row r="177" spans="1:16" x14ac:dyDescent="0.25">
      <c r="A177" s="2">
        <v>40485</v>
      </c>
      <c r="B177">
        <v>1.2020990000000001E-3</v>
      </c>
      <c r="C177">
        <v>7.0394430000000003E-3</v>
      </c>
      <c r="D177">
        <v>3.6712939999999999E-3</v>
      </c>
      <c r="E177">
        <v>-5.5017770000000002E-3</v>
      </c>
      <c r="F177">
        <v>-1.4600570000000001E-3</v>
      </c>
      <c r="G177">
        <v>2.1470945000000002E-2</v>
      </c>
      <c r="H177">
        <v>0</v>
      </c>
      <c r="I177">
        <v>-5.4263109999999996E-3</v>
      </c>
      <c r="J177">
        <v>5.9921719999999996E-3</v>
      </c>
      <c r="K177">
        <v>7.0394430000000003E-3</v>
      </c>
      <c r="L177">
        <f t="shared" si="10"/>
        <v>4.1096680792029779E-3</v>
      </c>
      <c r="M177">
        <f t="shared" si="11"/>
        <v>3.4368780273173389E-3</v>
      </c>
      <c r="N177">
        <f t="shared" si="12"/>
        <v>4.9075724570201906E-3</v>
      </c>
      <c r="O177">
        <f t="shared" si="13"/>
        <v>5.6937388340675263E-3</v>
      </c>
      <c r="P177">
        <f t="shared" si="14"/>
        <v>6.0990394297905856E-3</v>
      </c>
    </row>
    <row r="178" spans="1:16" x14ac:dyDescent="0.25">
      <c r="A178" s="2">
        <v>40486</v>
      </c>
      <c r="B178">
        <v>3.2986427999999998E-2</v>
      </c>
      <c r="C178">
        <v>4.2670291999999999E-2</v>
      </c>
      <c r="D178">
        <v>1.9099224000000001E-2</v>
      </c>
      <c r="E178">
        <v>1.7508791999999999E-2</v>
      </c>
      <c r="F178">
        <v>1.9601378999999999E-2</v>
      </c>
      <c r="G178">
        <v>0</v>
      </c>
      <c r="H178">
        <v>1.5058841999999999E-2</v>
      </c>
      <c r="I178">
        <v>1.6419017000000001E-2</v>
      </c>
      <c r="J178">
        <v>1.0736760999999999E-2</v>
      </c>
      <c r="K178">
        <v>4.2670291999999999E-2</v>
      </c>
      <c r="L178">
        <f t="shared" si="10"/>
        <v>1.7553994775729539E-2</v>
      </c>
      <c r="M178">
        <f t="shared" si="11"/>
        <v>1.0663174041294445E-2</v>
      </c>
      <c r="N178">
        <f t="shared" si="12"/>
        <v>1.7508712517357021E-2</v>
      </c>
      <c r="O178">
        <f t="shared" si="13"/>
        <v>1.6910102333023327E-2</v>
      </c>
      <c r="P178">
        <f t="shared" si="14"/>
        <v>1.9248457633727747E-2</v>
      </c>
    </row>
    <row r="179" spans="1:16" x14ac:dyDescent="0.25">
      <c r="A179" s="2">
        <v>40487</v>
      </c>
      <c r="B179">
        <v>-1.7819870000000001E-3</v>
      </c>
      <c r="C179">
        <v>-4.3741179999999998E-3</v>
      </c>
      <c r="D179">
        <v>3.9151469999999999E-3</v>
      </c>
      <c r="E179">
        <v>2.8927530000000001E-3</v>
      </c>
      <c r="F179">
        <v>2.1468379999999999E-3</v>
      </c>
      <c r="G179">
        <v>2.8151791999999998E-2</v>
      </c>
      <c r="H179">
        <v>-5.3433090000000001E-3</v>
      </c>
      <c r="I179">
        <v>-1.128411E-3</v>
      </c>
      <c r="J179">
        <v>4.1655549999999996E-3</v>
      </c>
      <c r="K179">
        <v>-4.3741179999999998E-3</v>
      </c>
      <c r="L179">
        <f t="shared" si="10"/>
        <v>6.4621296569362247E-3</v>
      </c>
      <c r="M179">
        <f t="shared" si="11"/>
        <v>5.0358409382462747E-3</v>
      </c>
      <c r="N179">
        <f t="shared" si="12"/>
        <v>7.0905377505855885E-3</v>
      </c>
      <c r="O179">
        <f t="shared" si="13"/>
        <v>9.4800433798291478E-3</v>
      </c>
      <c r="P179">
        <f t="shared" si="14"/>
        <v>8.6576412735332158E-3</v>
      </c>
    </row>
    <row r="180" spans="1:16" x14ac:dyDescent="0.25">
      <c r="A180" s="2">
        <v>40490</v>
      </c>
      <c r="B180">
        <v>2.2849260000000001E-3</v>
      </c>
      <c r="C180">
        <v>-5.7341299999999996E-3</v>
      </c>
      <c r="D180">
        <v>-2.1232299999999998E-3</v>
      </c>
      <c r="E180">
        <v>-5.4795699999999996E-4</v>
      </c>
      <c r="F180">
        <v>-4.3324820000000003E-3</v>
      </c>
      <c r="G180">
        <v>1.1047222000000001E-2</v>
      </c>
      <c r="H180">
        <v>6.8840199999999996E-4</v>
      </c>
      <c r="I180">
        <v>-2.1374889999999998E-3</v>
      </c>
      <c r="J180">
        <v>3.1281960000000002E-3</v>
      </c>
      <c r="K180">
        <v>-5.7341299999999996E-3</v>
      </c>
      <c r="L180">
        <f t="shared" si="10"/>
        <v>4.0301887165681031E-3</v>
      </c>
      <c r="M180">
        <f t="shared" si="11"/>
        <v>2.6042586293895751E-3</v>
      </c>
      <c r="N180">
        <f t="shared" si="12"/>
        <v>3.4168950548313618E-3</v>
      </c>
      <c r="O180">
        <f t="shared" si="13"/>
        <v>3.4216999867944468E-3</v>
      </c>
      <c r="P180">
        <f t="shared" si="14"/>
        <v>3.2243615316357075E-3</v>
      </c>
    </row>
    <row r="181" spans="1:16" x14ac:dyDescent="0.25">
      <c r="A181" s="2">
        <v>40491</v>
      </c>
      <c r="B181">
        <v>8.4529099999999992E-3</v>
      </c>
      <c r="C181">
        <v>8.5232399999999996E-3</v>
      </c>
      <c r="D181">
        <v>-8.0849149999999998E-3</v>
      </c>
      <c r="E181">
        <v>5.51178E-3</v>
      </c>
      <c r="F181">
        <v>4.2984410000000001E-3</v>
      </c>
      <c r="G181">
        <v>-3.9562709999999999E-3</v>
      </c>
      <c r="H181">
        <v>-1.355192E-2</v>
      </c>
      <c r="I181">
        <v>5.8114439999999998E-3</v>
      </c>
      <c r="J181">
        <v>-1.6442939999999999E-3</v>
      </c>
      <c r="K181">
        <v>8.5232399999999996E-3</v>
      </c>
      <c r="L181">
        <f t="shared" si="10"/>
        <v>5.9211937290562285E-3</v>
      </c>
      <c r="M181">
        <f t="shared" si="11"/>
        <v>1.73192211199559E-3</v>
      </c>
      <c r="N181">
        <f t="shared" si="12"/>
        <v>3.5254881119081093E-3</v>
      </c>
      <c r="O181">
        <f t="shared" si="13"/>
        <v>2.3162154891122385E-3</v>
      </c>
      <c r="P181">
        <f t="shared" si="14"/>
        <v>5.2822424309730033E-3</v>
      </c>
    </row>
    <row r="182" spans="1:16" x14ac:dyDescent="0.25">
      <c r="A182" s="2">
        <v>40492</v>
      </c>
      <c r="B182">
        <v>-1.3824293E-2</v>
      </c>
      <c r="C182">
        <v>-1.6602556000000001E-2</v>
      </c>
      <c r="D182">
        <v>4.3665860000000004E-3</v>
      </c>
      <c r="E182">
        <v>-1.0064012000000001E-2</v>
      </c>
      <c r="F182">
        <v>-9.9726280000000007E-3</v>
      </c>
      <c r="G182">
        <v>1.3934149E-2</v>
      </c>
      <c r="H182">
        <v>-5.7215800000000002E-4</v>
      </c>
      <c r="I182">
        <v>-1.0570965E-2</v>
      </c>
      <c r="J182">
        <v>-2.2212120000000002E-3</v>
      </c>
      <c r="K182">
        <v>-1.6602556000000001E-2</v>
      </c>
      <c r="L182">
        <f t="shared" si="10"/>
        <v>-5.3280258279919442E-3</v>
      </c>
      <c r="M182">
        <f t="shared" si="11"/>
        <v>3.2860392393080471E-4</v>
      </c>
      <c r="N182">
        <f t="shared" si="12"/>
        <v>-4.848324311654678E-3</v>
      </c>
      <c r="O182">
        <f t="shared" si="13"/>
        <v>-2.0777235971980966E-3</v>
      </c>
      <c r="P182">
        <f t="shared" si="14"/>
        <v>-5.1367161754851259E-3</v>
      </c>
    </row>
    <row r="183" spans="1:16" x14ac:dyDescent="0.25">
      <c r="A183" s="2">
        <v>40493</v>
      </c>
      <c r="B183">
        <v>-6.7699309999999999E-3</v>
      </c>
      <c r="C183">
        <v>-1.1877057999999999E-2</v>
      </c>
      <c r="D183">
        <v>-4.2512139999999997E-3</v>
      </c>
      <c r="E183">
        <v>5.3112199999999997E-4</v>
      </c>
      <c r="F183">
        <v>-2.9229499999999998E-4</v>
      </c>
      <c r="G183">
        <v>3.1423990000000001E-3</v>
      </c>
      <c r="H183">
        <v>-6.2030679999999999E-3</v>
      </c>
      <c r="I183">
        <v>-3.4190010000000001E-3</v>
      </c>
      <c r="J183">
        <v>-7.6525580000000003E-3</v>
      </c>
      <c r="K183">
        <v>-1.1877057999999999E-2</v>
      </c>
      <c r="L183">
        <f t="shared" si="10"/>
        <v>-8.9578289430128442E-3</v>
      </c>
      <c r="M183">
        <f t="shared" si="11"/>
        <v>6.3409228939009842E-4</v>
      </c>
      <c r="N183">
        <f t="shared" si="12"/>
        <v>-5.7173418920423913E-3</v>
      </c>
      <c r="O183">
        <f t="shared" si="13"/>
        <v>-1.8396289253331344E-3</v>
      </c>
      <c r="P183">
        <f t="shared" si="14"/>
        <v>-7.0121743087459901E-3</v>
      </c>
    </row>
    <row r="184" spans="1:16" x14ac:dyDescent="0.25">
      <c r="A184" s="2">
        <v>40494</v>
      </c>
      <c r="B184">
        <v>-7.617876E-3</v>
      </c>
      <c r="C184">
        <v>-1.7336606000000001E-2</v>
      </c>
      <c r="D184">
        <v>-1.1878701E-2</v>
      </c>
      <c r="E184">
        <v>1.6644349999999999E-3</v>
      </c>
      <c r="F184">
        <v>-3.1518869999999999E-3</v>
      </c>
      <c r="G184">
        <v>-1.3953879000000001E-2</v>
      </c>
      <c r="H184">
        <v>-1.1698188E-2</v>
      </c>
      <c r="I184">
        <v>-2.616897E-3</v>
      </c>
      <c r="J184">
        <v>-1.1377315000000001E-2</v>
      </c>
      <c r="K184">
        <v>-1.7336606000000001E-2</v>
      </c>
      <c r="L184">
        <f t="shared" si="10"/>
        <v>-1.1167299157703861E-2</v>
      </c>
      <c r="M184">
        <f t="shared" si="11"/>
        <v>-2.0014269567904855E-3</v>
      </c>
      <c r="N184">
        <f t="shared" si="12"/>
        <v>-9.576708438807046E-3</v>
      </c>
      <c r="O184">
        <f t="shared" si="13"/>
        <v>-7.3017582641822778E-3</v>
      </c>
      <c r="P184">
        <f t="shared" si="14"/>
        <v>-1.1102201100558019E-2</v>
      </c>
    </row>
    <row r="185" spans="1:16" x14ac:dyDescent="0.25">
      <c r="A185" s="2">
        <v>40497</v>
      </c>
      <c r="B185">
        <v>6.3774679999999999E-3</v>
      </c>
      <c r="C185">
        <v>6.3788610000000004E-3</v>
      </c>
      <c r="D185">
        <v>-1.21821E-3</v>
      </c>
      <c r="E185">
        <v>8.2160759999999992E-3</v>
      </c>
      <c r="F185">
        <v>4.0456959999999997E-3</v>
      </c>
      <c r="G185">
        <v>1.0505244E-2</v>
      </c>
      <c r="H185">
        <v>-1.048581E-2</v>
      </c>
      <c r="I185">
        <v>6.9721030000000003E-3</v>
      </c>
      <c r="J185">
        <v>-1.4390760000000001E-3</v>
      </c>
      <c r="K185">
        <v>6.3788610000000004E-3</v>
      </c>
      <c r="L185">
        <f t="shared" si="10"/>
        <v>8.407872068249873E-3</v>
      </c>
      <c r="M185">
        <f t="shared" si="11"/>
        <v>3.9245518909248331E-3</v>
      </c>
      <c r="N185">
        <f t="shared" si="12"/>
        <v>5.7572103183941509E-3</v>
      </c>
      <c r="O185">
        <f t="shared" si="13"/>
        <v>6.6296845825757266E-3</v>
      </c>
      <c r="P185">
        <f t="shared" si="14"/>
        <v>7.3602434492384215E-3</v>
      </c>
    </row>
    <row r="186" spans="1:16" x14ac:dyDescent="0.25">
      <c r="A186" s="2">
        <v>40504</v>
      </c>
      <c r="B186">
        <v>-3.0041874E-2</v>
      </c>
      <c r="C186">
        <v>-3.5632732E-2</v>
      </c>
      <c r="D186" s="1">
        <v>7.5138100000000005E-5</v>
      </c>
      <c r="E186">
        <v>4.6840349999999996E-3</v>
      </c>
      <c r="F186">
        <v>-2.427692E-2</v>
      </c>
      <c r="G186">
        <v>2.8852658999999999E-2</v>
      </c>
      <c r="H186">
        <v>0</v>
      </c>
      <c r="I186">
        <v>-1.3762475999999999E-2</v>
      </c>
      <c r="J186">
        <v>-1.8275089999999999E-3</v>
      </c>
      <c r="K186">
        <v>-3.5632732E-2</v>
      </c>
      <c r="L186">
        <f t="shared" si="10"/>
        <v>-3.8690172078959593E-3</v>
      </c>
      <c r="M186">
        <f t="shared" si="11"/>
        <v>1.3056189408337442E-3</v>
      </c>
      <c r="N186">
        <f t="shared" si="12"/>
        <v>-4.431947514230602E-3</v>
      </c>
      <c r="O186">
        <f t="shared" si="13"/>
        <v>7.6011180567971029E-4</v>
      </c>
      <c r="P186">
        <f t="shared" si="14"/>
        <v>-7.3010941493018584E-3</v>
      </c>
    </row>
    <row r="187" spans="1:16" x14ac:dyDescent="0.25">
      <c r="A187" s="2">
        <v>40505</v>
      </c>
      <c r="B187">
        <v>-2.3701804E-2</v>
      </c>
      <c r="C187">
        <v>-3.7541092999999998E-2</v>
      </c>
      <c r="D187">
        <v>-1.4387044E-2</v>
      </c>
      <c r="E187">
        <v>-1.7306496000000001E-2</v>
      </c>
      <c r="F187">
        <v>-1.7670344000000001E-2</v>
      </c>
      <c r="G187">
        <v>-8.4466850000000007E-3</v>
      </c>
      <c r="H187">
        <v>-2.4422302999999999E-2</v>
      </c>
      <c r="I187">
        <v>-2.0006461E-2</v>
      </c>
      <c r="J187">
        <v>-1.5299989E-2</v>
      </c>
      <c r="K187">
        <v>-3.7541092999999998E-2</v>
      </c>
      <c r="L187">
        <f t="shared" si="10"/>
        <v>-2.1921051442191999E-2</v>
      </c>
      <c r="M187">
        <f t="shared" si="11"/>
        <v>-7.9567542293788023E-3</v>
      </c>
      <c r="N187">
        <f t="shared" si="12"/>
        <v>-2.0810255550102318E-2</v>
      </c>
      <c r="O187">
        <f t="shared" si="13"/>
        <v>-1.774042976267258E-2</v>
      </c>
      <c r="P187">
        <f t="shared" si="14"/>
        <v>-2.1000513513695071E-2</v>
      </c>
    </row>
    <row r="188" spans="1:16" x14ac:dyDescent="0.25">
      <c r="A188" s="2">
        <v>40506</v>
      </c>
      <c r="B188">
        <v>1.3406293E-2</v>
      </c>
      <c r="C188">
        <v>-4.48648E-4</v>
      </c>
      <c r="D188">
        <v>1.4812719E-2</v>
      </c>
      <c r="E188">
        <v>1.7562985E-2</v>
      </c>
      <c r="F188">
        <v>1.3489668999999999E-2</v>
      </c>
      <c r="G188">
        <v>0</v>
      </c>
      <c r="H188">
        <v>2.4364857E-2</v>
      </c>
      <c r="I188">
        <v>1.0218959E-2</v>
      </c>
      <c r="J188">
        <v>5.5902219999999997E-3</v>
      </c>
      <c r="K188">
        <v>-4.48648E-4</v>
      </c>
      <c r="L188">
        <f t="shared" si="10"/>
        <v>4.6862745564077123E-3</v>
      </c>
      <c r="M188">
        <f t="shared" si="11"/>
        <v>9.3948214763009217E-3</v>
      </c>
      <c r="N188">
        <f t="shared" si="12"/>
        <v>9.6737684913198244E-3</v>
      </c>
      <c r="O188">
        <f t="shared" si="13"/>
        <v>1.2498485594905741E-2</v>
      </c>
      <c r="P188">
        <f t="shared" si="14"/>
        <v>7.0640800984766144E-3</v>
      </c>
    </row>
    <row r="189" spans="1:16" x14ac:dyDescent="0.25">
      <c r="A189" s="2">
        <v>40507</v>
      </c>
      <c r="B189">
        <v>-1.218191E-3</v>
      </c>
      <c r="C189">
        <v>3.5347099999999999E-3</v>
      </c>
      <c r="D189">
        <v>-7.4966319999999996E-3</v>
      </c>
      <c r="E189">
        <v>8.1527309999999999E-3</v>
      </c>
      <c r="F189">
        <v>7.3617800000000001E-3</v>
      </c>
      <c r="G189">
        <v>4.937884E-3</v>
      </c>
      <c r="H189">
        <v>-3.84198E-3</v>
      </c>
      <c r="I189">
        <v>5.6567739999999998E-3</v>
      </c>
      <c r="J189">
        <v>3.6689699999999998E-4</v>
      </c>
      <c r="K189">
        <v>3.5347099999999999E-3</v>
      </c>
      <c r="L189">
        <f t="shared" si="10"/>
        <v>3.5859582303555703E-3</v>
      </c>
      <c r="M189">
        <f t="shared" si="11"/>
        <v>3.8657298833386514E-3</v>
      </c>
      <c r="N189">
        <f t="shared" si="12"/>
        <v>5.305282340103184E-3</v>
      </c>
      <c r="O189">
        <f t="shared" si="13"/>
        <v>5.9154409126072911E-3</v>
      </c>
      <c r="P189">
        <f t="shared" si="14"/>
        <v>4.9897641874607108E-3</v>
      </c>
    </row>
    <row r="190" spans="1:16" x14ac:dyDescent="0.25">
      <c r="A190" s="2">
        <v>40508</v>
      </c>
      <c r="B190">
        <v>-1.5021369999999999E-2</v>
      </c>
      <c r="C190">
        <v>-2.3631065E-2</v>
      </c>
      <c r="D190">
        <v>0</v>
      </c>
      <c r="E190">
        <v>-4.4694959999999999E-3</v>
      </c>
      <c r="F190">
        <v>-5.3133590000000001E-3</v>
      </c>
      <c r="G190">
        <v>-3.996164E-3</v>
      </c>
      <c r="H190">
        <v>-1.6513442999999999E-2</v>
      </c>
      <c r="I190">
        <v>-5.8229110000000001E-3</v>
      </c>
      <c r="J190">
        <v>-9.0881369999999996E-3</v>
      </c>
      <c r="K190">
        <v>-2.3631065E-2</v>
      </c>
      <c r="L190">
        <f t="shared" si="10"/>
        <v>-6.6791055049600055E-3</v>
      </c>
      <c r="M190">
        <f t="shared" si="11"/>
        <v>-1.6955962884110287E-3</v>
      </c>
      <c r="N190">
        <f t="shared" si="12"/>
        <v>-8.2085684533830562E-3</v>
      </c>
      <c r="O190">
        <f t="shared" si="13"/>
        <v>-5.8628642754183242E-3</v>
      </c>
      <c r="P190">
        <f t="shared" si="14"/>
        <v>-6.627489328148788E-3</v>
      </c>
    </row>
    <row r="191" spans="1:16" x14ac:dyDescent="0.25">
      <c r="A191" s="2">
        <v>40511</v>
      </c>
      <c r="B191">
        <v>-3.1880776999999999E-2</v>
      </c>
      <c r="C191">
        <v>-3.4779442000000001E-2</v>
      </c>
      <c r="D191">
        <v>-1.379798E-3</v>
      </c>
      <c r="E191">
        <v>-2.2295241E-2</v>
      </c>
      <c r="F191">
        <v>-2.0981723000000001E-2</v>
      </c>
      <c r="G191">
        <v>8.5720970000000007E-3</v>
      </c>
      <c r="H191">
        <v>-4.6718760000000002E-3</v>
      </c>
      <c r="I191">
        <v>-2.0118927000000002E-2</v>
      </c>
      <c r="J191">
        <v>5.4317199999999997E-4</v>
      </c>
      <c r="K191">
        <v>-3.4779442000000001E-2</v>
      </c>
      <c r="L191">
        <f t="shared" si="10"/>
        <v>-6.8240380124261306E-3</v>
      </c>
      <c r="M191">
        <f t="shared" si="11"/>
        <v>-3.6474945478201016E-3</v>
      </c>
      <c r="N191">
        <f t="shared" si="12"/>
        <v>-8.5001069227636887E-3</v>
      </c>
      <c r="O191">
        <f t="shared" si="13"/>
        <v>-8.8105305745107467E-3</v>
      </c>
      <c r="P191">
        <f t="shared" si="14"/>
        <v>-7.8821088570312052E-3</v>
      </c>
    </row>
    <row r="192" spans="1:16" x14ac:dyDescent="0.25">
      <c r="A192" s="2">
        <v>40512</v>
      </c>
      <c r="B192">
        <v>1.9760499000000001E-2</v>
      </c>
      <c r="C192">
        <v>1.117932E-2</v>
      </c>
      <c r="D192">
        <v>-6.0887490000000001E-3</v>
      </c>
      <c r="E192">
        <v>-1.416357E-3</v>
      </c>
      <c r="F192">
        <v>-4.0977380000000001E-3</v>
      </c>
      <c r="G192">
        <v>-1.8836195999999999E-2</v>
      </c>
      <c r="H192">
        <v>-2.9938159999999998E-3</v>
      </c>
      <c r="I192">
        <v>-5.5136050000000004E-3</v>
      </c>
      <c r="J192">
        <v>-4.9979129999999997E-3</v>
      </c>
      <c r="K192">
        <v>1.117932E-2</v>
      </c>
      <c r="L192">
        <f t="shared" si="10"/>
        <v>-9.4116306065030481E-3</v>
      </c>
      <c r="M192">
        <f t="shared" si="11"/>
        <v>-1.4532278596401231E-3</v>
      </c>
      <c r="N192">
        <f t="shared" si="12"/>
        <v>-7.4559816425983404E-3</v>
      </c>
      <c r="O192">
        <f t="shared" si="13"/>
        <v>-6.8781865451907507E-3</v>
      </c>
      <c r="P192">
        <f t="shared" si="14"/>
        <v>-8.6763401340837019E-3</v>
      </c>
    </row>
    <row r="193" spans="1:16" x14ac:dyDescent="0.25">
      <c r="A193" s="2">
        <v>40513</v>
      </c>
      <c r="B193">
        <v>1.2248014999999999E-2</v>
      </c>
      <c r="C193">
        <v>1.9146303999999999E-2</v>
      </c>
      <c r="D193">
        <v>2.1386708000000001E-2</v>
      </c>
      <c r="E193">
        <v>2.6285309E-2</v>
      </c>
      <c r="F193">
        <v>2.0446875999999999E-2</v>
      </c>
      <c r="G193">
        <v>5.1201889999999998E-3</v>
      </c>
      <c r="H193">
        <v>2.3948434000000001E-2</v>
      </c>
      <c r="I193">
        <v>2.2416874E-2</v>
      </c>
      <c r="J193">
        <v>1.5463595E-2</v>
      </c>
      <c r="K193">
        <v>1.9146303999999999E-2</v>
      </c>
      <c r="L193">
        <f t="shared" si="10"/>
        <v>2.5612746017035171E-2</v>
      </c>
      <c r="M193">
        <f t="shared" si="11"/>
        <v>1.3885393406675915E-2</v>
      </c>
      <c r="N193">
        <f t="shared" si="12"/>
        <v>2.4416934169811489E-2</v>
      </c>
      <c r="O193">
        <f t="shared" si="13"/>
        <v>2.3139052759813667E-2</v>
      </c>
      <c r="P193">
        <f t="shared" si="14"/>
        <v>2.5259184531597197E-2</v>
      </c>
    </row>
    <row r="194" spans="1:16" x14ac:dyDescent="0.25">
      <c r="A194" s="2">
        <v>40514</v>
      </c>
      <c r="B194">
        <v>1.1764491E-2</v>
      </c>
      <c r="C194">
        <v>1.6953000999999999E-2</v>
      </c>
      <c r="D194">
        <v>1.2737032000000001E-2</v>
      </c>
      <c r="E194">
        <v>1.3162577E-2</v>
      </c>
      <c r="F194">
        <v>2.1928820000000002E-2</v>
      </c>
      <c r="G194">
        <v>1.7907295E-2</v>
      </c>
      <c r="H194">
        <v>2.6067E-3</v>
      </c>
      <c r="I194">
        <v>1.9000468999999999E-2</v>
      </c>
      <c r="J194">
        <v>1.1647698E-2</v>
      </c>
      <c r="K194">
        <v>1.6953000999999999E-2</v>
      </c>
      <c r="L194">
        <f t="shared" si="10"/>
        <v>2.4840906138440935E-2</v>
      </c>
      <c r="M194">
        <f t="shared" si="11"/>
        <v>1.0859406597692394E-2</v>
      </c>
      <c r="N194">
        <f t="shared" si="12"/>
        <v>2.2144177961578589E-2</v>
      </c>
      <c r="O194">
        <f t="shared" si="13"/>
        <v>2.041443269877169E-2</v>
      </c>
      <c r="P194">
        <f t="shared" si="14"/>
        <v>2.6174785834637487E-2</v>
      </c>
    </row>
    <row r="195" spans="1:16" x14ac:dyDescent="0.25">
      <c r="A195" s="2">
        <v>40515</v>
      </c>
      <c r="B195">
        <v>-1.179229E-3</v>
      </c>
      <c r="C195">
        <v>4.1029040000000001E-3</v>
      </c>
      <c r="D195">
        <v>2.59991E-3</v>
      </c>
      <c r="E195">
        <v>-1.422476E-3</v>
      </c>
      <c r="F195">
        <v>-3.8739199999999999E-3</v>
      </c>
      <c r="G195">
        <v>9.6329499999999997E-4</v>
      </c>
      <c r="H195">
        <v>3.4316189999999999E-3</v>
      </c>
      <c r="I195">
        <v>-1.3586379999999999E-3</v>
      </c>
      <c r="J195">
        <v>2.1337190000000001E-3</v>
      </c>
      <c r="K195">
        <v>4.1029040000000001E-3</v>
      </c>
      <c r="L195">
        <f t="shared" si="10"/>
        <v>3.2109495658217556E-3</v>
      </c>
      <c r="M195">
        <f t="shared" si="11"/>
        <v>2.2443662413771672E-3</v>
      </c>
      <c r="N195">
        <f t="shared" si="12"/>
        <v>1.8631227476476116E-3</v>
      </c>
      <c r="O195">
        <f t="shared" si="13"/>
        <v>1.4694325705098123E-3</v>
      </c>
      <c r="P195">
        <f t="shared" si="14"/>
        <v>1.8870415357838434E-3</v>
      </c>
    </row>
    <row r="196" spans="1:16" x14ac:dyDescent="0.25">
      <c r="A196" s="2">
        <v>40518</v>
      </c>
      <c r="B196">
        <v>1.2661171000000001E-2</v>
      </c>
      <c r="C196">
        <v>1.0356506E-2</v>
      </c>
      <c r="D196">
        <v>-1.29911E-3</v>
      </c>
      <c r="E196">
        <v>9.5812899999999995E-4</v>
      </c>
      <c r="F196">
        <v>4.341943E-3</v>
      </c>
      <c r="G196">
        <v>-1.0901649999999999E-3</v>
      </c>
      <c r="H196">
        <v>-3.0721110000000002E-3</v>
      </c>
      <c r="I196">
        <v>-1.84585E-4</v>
      </c>
      <c r="J196">
        <v>2.9512060000000001E-3</v>
      </c>
      <c r="K196">
        <v>1.0356506E-2</v>
      </c>
      <c r="L196">
        <f t="shared" ref="L196:L252" si="15">SUMPRODUCT(D196:J196,$R$8:$X$8)+$Y$8</f>
        <v>2.1441464220583882E-3</v>
      </c>
      <c r="M196">
        <f t="shared" ref="M196:M252" si="16">SUMPRODUCT(D196:J196,$R$16:$X$16)+$Y$16</f>
        <v>2.5236698997368593E-3</v>
      </c>
      <c r="N196">
        <f t="shared" ref="N196:N252" si="17">SUMPRODUCT(D196:J196,$R$24:$X$24)+$Y$24</f>
        <v>3.3346717205228566E-3</v>
      </c>
      <c r="O196">
        <f t="shared" ref="O196:O252" si="18">SUMPRODUCT(D196:J196,$R$32:$X$32)+$Y$32</f>
        <v>2.8960575368554347E-3</v>
      </c>
      <c r="P196">
        <f t="shared" ref="P196:P252" si="19">SUMPRODUCT(D196:J196,$R$40:$X$40)+$Y$40</f>
        <v>4.3914790472186719E-3</v>
      </c>
    </row>
    <row r="197" spans="1:16" x14ac:dyDescent="0.25">
      <c r="A197" s="2">
        <v>40519</v>
      </c>
      <c r="B197">
        <v>2.380343E-3</v>
      </c>
      <c r="C197">
        <v>8.157404E-3</v>
      </c>
      <c r="D197">
        <v>5.1494400000000004E-4</v>
      </c>
      <c r="E197">
        <v>6.811292E-3</v>
      </c>
      <c r="F197">
        <v>6.5982899999999997E-3</v>
      </c>
      <c r="G197">
        <v>-2.57333E-3</v>
      </c>
      <c r="H197">
        <v>-3.0815780000000002E-3</v>
      </c>
      <c r="I197">
        <v>8.1352239999999999E-3</v>
      </c>
      <c r="J197">
        <v>1.0685239999999999E-3</v>
      </c>
      <c r="K197">
        <v>8.157404E-3</v>
      </c>
      <c r="L197">
        <f t="shared" si="15"/>
        <v>8.4195981567133319E-3</v>
      </c>
      <c r="M197">
        <f t="shared" si="16"/>
        <v>3.9659426999214152E-3</v>
      </c>
      <c r="N197">
        <f t="shared" si="17"/>
        <v>6.3592692524884467E-3</v>
      </c>
      <c r="O197">
        <f t="shared" si="18"/>
        <v>5.4593547452901755E-3</v>
      </c>
      <c r="P197">
        <f t="shared" si="19"/>
        <v>7.6527269839639402E-3</v>
      </c>
    </row>
    <row r="198" spans="1:16" x14ac:dyDescent="0.25">
      <c r="A198" s="2">
        <v>40520</v>
      </c>
      <c r="B198">
        <v>-2.490964E-3</v>
      </c>
      <c r="C198">
        <v>-1.2462407999999999E-2</v>
      </c>
      <c r="D198">
        <v>3.6949019999999999E-3</v>
      </c>
      <c r="E198">
        <v>-3.7259179999999999E-3</v>
      </c>
      <c r="F198">
        <v>-2.4131700000000001E-3</v>
      </c>
      <c r="G198">
        <v>8.9558420000000003E-3</v>
      </c>
      <c r="H198">
        <v>-1.6915168000000001E-2</v>
      </c>
      <c r="I198">
        <v>1.5693529999999999E-3</v>
      </c>
      <c r="J198">
        <v>-7.6495490000000003E-3</v>
      </c>
      <c r="K198">
        <v>-1.2462407999999999E-2</v>
      </c>
      <c r="L198">
        <f t="shared" si="15"/>
        <v>3.5684796436701075E-3</v>
      </c>
      <c r="M198">
        <f t="shared" si="16"/>
        <v>7.2499490704455846E-4</v>
      </c>
      <c r="N198">
        <f t="shared" si="17"/>
        <v>-1.7276639959743633E-3</v>
      </c>
      <c r="O198">
        <f t="shared" si="18"/>
        <v>-1.1352532431690315E-4</v>
      </c>
      <c r="P198">
        <f t="shared" si="19"/>
        <v>1.1447947507958784E-3</v>
      </c>
    </row>
    <row r="199" spans="1:16" x14ac:dyDescent="0.25">
      <c r="A199" s="2">
        <v>40521</v>
      </c>
      <c r="B199">
        <v>-2.6805078999999999E-2</v>
      </c>
      <c r="C199">
        <v>-3.1852930000000002E-2</v>
      </c>
      <c r="D199">
        <v>3.8354069999999999E-3</v>
      </c>
      <c r="E199">
        <v>-1.6800540000000001E-3</v>
      </c>
      <c r="F199">
        <v>2.3270859999999999E-3</v>
      </c>
      <c r="G199">
        <v>5.2197650000000003E-3</v>
      </c>
      <c r="H199">
        <v>-4.3512200000000003E-3</v>
      </c>
      <c r="I199">
        <v>2.3070339999999999E-3</v>
      </c>
      <c r="J199">
        <v>9.6820700000000001E-4</v>
      </c>
      <c r="K199">
        <v>-3.1852930000000002E-2</v>
      </c>
      <c r="L199">
        <f t="shared" si="15"/>
        <v>6.2299445592074697E-3</v>
      </c>
      <c r="M199">
        <f t="shared" si="16"/>
        <v>2.8636105998578881E-3</v>
      </c>
      <c r="N199">
        <f t="shared" si="17"/>
        <v>3.9291113102109757E-3</v>
      </c>
      <c r="O199">
        <f t="shared" si="18"/>
        <v>3.6357236463911216E-3</v>
      </c>
      <c r="P199">
        <f t="shared" si="19"/>
        <v>5.8794469133869685E-3</v>
      </c>
    </row>
    <row r="200" spans="1:16" x14ac:dyDescent="0.25">
      <c r="A200" s="2">
        <v>40522</v>
      </c>
      <c r="B200">
        <v>-1.7676197000000001E-2</v>
      </c>
      <c r="C200">
        <v>-2.0089706999999998E-2</v>
      </c>
      <c r="D200">
        <v>5.9836840000000004E-3</v>
      </c>
      <c r="E200">
        <v>6.0141919999999998E-3</v>
      </c>
      <c r="F200">
        <v>8.60511E-4</v>
      </c>
      <c r="G200">
        <v>-7.2134779999999997E-3</v>
      </c>
      <c r="H200">
        <v>6.7978029999999998E-3</v>
      </c>
      <c r="I200">
        <v>6.8140400000000004E-4</v>
      </c>
      <c r="J200">
        <v>-8.9223600000000003E-4</v>
      </c>
      <c r="K200">
        <v>-2.0089706999999998E-2</v>
      </c>
      <c r="L200">
        <f t="shared" si="15"/>
        <v>-1.7358006699833874E-3</v>
      </c>
      <c r="M200">
        <f t="shared" si="16"/>
        <v>3.1524460107170554E-3</v>
      </c>
      <c r="N200">
        <f t="shared" si="17"/>
        <v>-2.0812013745690372E-4</v>
      </c>
      <c r="O200">
        <f t="shared" si="18"/>
        <v>1.5652868616051249E-3</v>
      </c>
      <c r="P200">
        <f t="shared" si="19"/>
        <v>-1.3509690702413371E-3</v>
      </c>
    </row>
    <row r="201" spans="1:16" x14ac:dyDescent="0.25">
      <c r="A201" s="2">
        <v>40525</v>
      </c>
      <c r="B201">
        <v>2.4729438999999999E-2</v>
      </c>
      <c r="C201">
        <v>2.2188263E-2</v>
      </c>
      <c r="D201" s="1">
        <v>4.83703E-5</v>
      </c>
      <c r="E201">
        <v>3.3087419999999999E-3</v>
      </c>
      <c r="F201">
        <v>8.1893239999999996E-3</v>
      </c>
      <c r="G201">
        <v>7.9919120000000003E-3</v>
      </c>
      <c r="H201">
        <v>1.1406415E-2</v>
      </c>
      <c r="I201">
        <v>5.6873239999999997E-3</v>
      </c>
      <c r="J201">
        <v>5.1501309999999996E-3</v>
      </c>
      <c r="K201">
        <v>2.2188263E-2</v>
      </c>
      <c r="L201">
        <f t="shared" si="15"/>
        <v>5.5439490588093162E-3</v>
      </c>
      <c r="M201">
        <f t="shared" si="16"/>
        <v>5.7005661128783853E-3</v>
      </c>
      <c r="N201">
        <f t="shared" si="17"/>
        <v>8.1747757435141552E-3</v>
      </c>
      <c r="O201">
        <f t="shared" si="18"/>
        <v>8.2085934527483841E-3</v>
      </c>
      <c r="P201">
        <f t="shared" si="19"/>
        <v>6.9045399898493391E-3</v>
      </c>
    </row>
    <row r="202" spans="1:16" x14ac:dyDescent="0.25">
      <c r="A202" s="2">
        <v>40526</v>
      </c>
      <c r="B202">
        <v>1.9455169999999999E-3</v>
      </c>
      <c r="C202">
        <v>4.6893179999999996E-3</v>
      </c>
      <c r="D202">
        <v>9.1053800000000002E-4</v>
      </c>
      <c r="E202">
        <v>-2.8313699999999998E-4</v>
      </c>
      <c r="F202">
        <v>5.1735990000000001E-3</v>
      </c>
      <c r="G202">
        <v>2.2202110000000001E-3</v>
      </c>
      <c r="H202">
        <v>-5.5560130000000003E-3</v>
      </c>
      <c r="I202">
        <v>2.9448450000000002E-3</v>
      </c>
      <c r="J202">
        <v>2.9709049999999998E-3</v>
      </c>
      <c r="K202">
        <v>4.6893179999999996E-3</v>
      </c>
      <c r="L202">
        <f t="shared" si="15"/>
        <v>6.9935320643400162E-3</v>
      </c>
      <c r="M202">
        <f t="shared" si="16"/>
        <v>3.0040105488761066E-3</v>
      </c>
      <c r="N202">
        <f t="shared" si="17"/>
        <v>5.5339329067913929E-3</v>
      </c>
      <c r="O202">
        <f t="shared" si="18"/>
        <v>4.3437864587886205E-3</v>
      </c>
      <c r="P202">
        <f t="shared" si="19"/>
        <v>7.7918036510833642E-3</v>
      </c>
    </row>
    <row r="203" spans="1:16" x14ac:dyDescent="0.25">
      <c r="A203" s="2">
        <v>40527</v>
      </c>
      <c r="B203">
        <v>-1.5310023000000001E-2</v>
      </c>
      <c r="C203">
        <v>-2.6703272E-2</v>
      </c>
      <c r="D203">
        <v>-5.1356290000000001E-3</v>
      </c>
      <c r="E203">
        <v>-1.5708040000000001E-3</v>
      </c>
      <c r="F203">
        <v>-1.5288700000000001E-3</v>
      </c>
      <c r="G203">
        <v>-6.7776700000000002E-4</v>
      </c>
      <c r="H203">
        <v>-1.2780802000000001E-2</v>
      </c>
      <c r="I203">
        <v>-3.0665290000000001E-3</v>
      </c>
      <c r="J203">
        <v>-5.4336990000000002E-3</v>
      </c>
      <c r="K203">
        <v>-2.6703272E-2</v>
      </c>
      <c r="L203">
        <f t="shared" si="15"/>
        <v>-3.899710016128649E-3</v>
      </c>
      <c r="M203">
        <f t="shared" si="16"/>
        <v>-2.5395518775520607E-4</v>
      </c>
      <c r="N203">
        <f t="shared" si="17"/>
        <v>-3.8857857489030265E-3</v>
      </c>
      <c r="O203">
        <f t="shared" si="18"/>
        <v>-2.4498304399727042E-3</v>
      </c>
      <c r="P203">
        <f t="shared" si="19"/>
        <v>-3.0831222690043346E-3</v>
      </c>
    </row>
    <row r="204" spans="1:16" x14ac:dyDescent="0.25">
      <c r="A204" s="2">
        <v>40528</v>
      </c>
      <c r="B204">
        <v>-1.6466636E-2</v>
      </c>
      <c r="C204">
        <v>-1.9641181000000001E-2</v>
      </c>
      <c r="D204">
        <v>6.1660339999999999E-3</v>
      </c>
      <c r="E204">
        <v>1.1438119999999999E-3</v>
      </c>
      <c r="F204">
        <v>-1.8702200000000001E-4</v>
      </c>
      <c r="G204">
        <v>1.4645200000000001E-4</v>
      </c>
      <c r="H204">
        <v>-8.3447250000000008E-3</v>
      </c>
      <c r="I204">
        <v>5.7085399999999998E-4</v>
      </c>
      <c r="J204">
        <v>-5.2807879999999998E-3</v>
      </c>
      <c r="K204">
        <v>-1.9641181000000001E-2</v>
      </c>
      <c r="L204">
        <f t="shared" si="15"/>
        <v>1.3579897743782677E-4</v>
      </c>
      <c r="M204">
        <f t="shared" si="16"/>
        <v>1.6367231873492985E-3</v>
      </c>
      <c r="N204">
        <f t="shared" si="17"/>
        <v>-1.8631547687235762E-3</v>
      </c>
      <c r="O204">
        <f t="shared" si="18"/>
        <v>2.2463244735243309E-4</v>
      </c>
      <c r="P204">
        <f t="shared" si="19"/>
        <v>-3.5518102845026427E-4</v>
      </c>
    </row>
    <row r="205" spans="1:16" x14ac:dyDescent="0.25">
      <c r="A205" s="2">
        <v>40529</v>
      </c>
      <c r="B205">
        <v>-1.4150672E-2</v>
      </c>
      <c r="C205">
        <v>-1.6985296E-2</v>
      </c>
      <c r="D205">
        <v>8.3642299999999998E-4</v>
      </c>
      <c r="E205">
        <v>-5.9899439999999997E-3</v>
      </c>
      <c r="F205">
        <v>-1.582588E-3</v>
      </c>
      <c r="G205">
        <v>-7.2374099999999997E-4</v>
      </c>
      <c r="H205">
        <v>9.9788689999999996E-3</v>
      </c>
      <c r="I205">
        <v>-3.5725539999999999E-3</v>
      </c>
      <c r="J205">
        <v>3.6264230000000001E-3</v>
      </c>
      <c r="K205">
        <v>-1.6985296E-2</v>
      </c>
      <c r="L205">
        <f t="shared" si="15"/>
        <v>-7.5222718853335934E-4</v>
      </c>
      <c r="M205">
        <f t="shared" si="16"/>
        <v>2.0982018542832835E-3</v>
      </c>
      <c r="N205">
        <f t="shared" si="17"/>
        <v>1.06114122826024E-3</v>
      </c>
      <c r="O205">
        <f t="shared" si="18"/>
        <v>5.5227819184061589E-4</v>
      </c>
      <c r="P205">
        <f t="shared" si="19"/>
        <v>-6.2086860720413171E-5</v>
      </c>
    </row>
    <row r="206" spans="1:16" x14ac:dyDescent="0.25">
      <c r="A206" s="2">
        <v>40532</v>
      </c>
      <c r="B206">
        <v>-3.5583300000000001E-4</v>
      </c>
      <c r="C206">
        <v>-1.7391671000000001E-2</v>
      </c>
      <c r="D206">
        <v>2.5451739999999999E-3</v>
      </c>
      <c r="E206">
        <v>5.1639099999999999E-3</v>
      </c>
      <c r="F206">
        <v>3.3663769999999998E-3</v>
      </c>
      <c r="G206">
        <v>-8.5204200000000008E-3</v>
      </c>
      <c r="H206">
        <v>-1.0603079E-2</v>
      </c>
      <c r="I206">
        <v>3.7375389999999998E-3</v>
      </c>
      <c r="J206">
        <v>-3.5649929999999998E-3</v>
      </c>
      <c r="K206">
        <v>-1.7391671000000001E-2</v>
      </c>
      <c r="L206">
        <f t="shared" si="15"/>
        <v>2.7041505275253643E-3</v>
      </c>
      <c r="M206">
        <f t="shared" si="16"/>
        <v>1.7716800698837974E-3</v>
      </c>
      <c r="N206">
        <f t="shared" si="17"/>
        <v>3.980082958830759E-4</v>
      </c>
      <c r="O206">
        <f t="shared" si="18"/>
        <v>8.0891155916779447E-4</v>
      </c>
      <c r="P206">
        <f t="shared" si="19"/>
        <v>2.4553721684195374E-3</v>
      </c>
    </row>
    <row r="207" spans="1:16" x14ac:dyDescent="0.25">
      <c r="A207" s="2">
        <v>40533</v>
      </c>
      <c r="B207">
        <v>2.0543855999999999E-2</v>
      </c>
      <c r="C207">
        <v>1.8217236000000001E-2</v>
      </c>
      <c r="D207">
        <v>6.0119780000000003E-3</v>
      </c>
      <c r="E207">
        <v>8.4262009999999995E-3</v>
      </c>
      <c r="F207">
        <v>1.0166087000000001E-2</v>
      </c>
      <c r="G207">
        <v>1.4972879E-2</v>
      </c>
      <c r="H207">
        <v>1.4039306999999999E-2</v>
      </c>
      <c r="I207">
        <v>1.0556670000000001E-2</v>
      </c>
      <c r="J207">
        <v>9.4688989999999994E-3</v>
      </c>
      <c r="K207">
        <v>1.8217236000000001E-2</v>
      </c>
      <c r="L207">
        <f t="shared" si="15"/>
        <v>1.4462864031089677E-2</v>
      </c>
      <c r="M207">
        <f t="shared" si="16"/>
        <v>8.4348157789913038E-3</v>
      </c>
      <c r="N207">
        <f t="shared" si="17"/>
        <v>1.4748899931152998E-2</v>
      </c>
      <c r="O207">
        <f t="shared" si="18"/>
        <v>1.4069871925674464E-2</v>
      </c>
      <c r="P207">
        <f t="shared" si="19"/>
        <v>1.4516628606284302E-2</v>
      </c>
    </row>
    <row r="208" spans="1:16" x14ac:dyDescent="0.25">
      <c r="A208" s="2">
        <v>40534</v>
      </c>
      <c r="B208">
        <v>9.5284099999999993E-3</v>
      </c>
      <c r="C208">
        <v>1.2176661E-2</v>
      </c>
      <c r="D208">
        <v>3.3738650000000002E-3</v>
      </c>
      <c r="E208">
        <v>-1.4237329999999999E-3</v>
      </c>
      <c r="F208">
        <v>5.3119860000000003E-3</v>
      </c>
      <c r="G208">
        <v>-2.3217649999999999E-3</v>
      </c>
      <c r="H208">
        <v>3.7458159999999999E-3</v>
      </c>
      <c r="I208">
        <v>1.131094E-3</v>
      </c>
      <c r="J208">
        <v>1.32698E-3</v>
      </c>
      <c r="K208">
        <v>1.2176661E-2</v>
      </c>
      <c r="L208">
        <f t="shared" si="15"/>
        <v>6.9487701611585647E-4</v>
      </c>
      <c r="M208">
        <f t="shared" si="16"/>
        <v>3.0110381930981873E-3</v>
      </c>
      <c r="N208">
        <f t="shared" si="17"/>
        <v>2.2271317289005435E-3</v>
      </c>
      <c r="O208">
        <f t="shared" si="18"/>
        <v>2.4844851212567458E-3</v>
      </c>
      <c r="P208">
        <f t="shared" si="19"/>
        <v>2.450454248168418E-3</v>
      </c>
    </row>
    <row r="209" spans="1:16" x14ac:dyDescent="0.25">
      <c r="A209" s="2">
        <v>40535</v>
      </c>
      <c r="B209">
        <v>1.1830075000000001E-2</v>
      </c>
      <c r="C209">
        <v>1.2478901000000001E-2</v>
      </c>
      <c r="D209">
        <v>-1.6457240000000001E-3</v>
      </c>
      <c r="E209">
        <v>-1.4484330000000001E-3</v>
      </c>
      <c r="F209">
        <v>2.1035770000000001E-3</v>
      </c>
      <c r="G209">
        <v>-6.524902E-3</v>
      </c>
      <c r="H209">
        <v>2.1904699999999999E-4</v>
      </c>
      <c r="I209">
        <v>8.8800000000000001E-4</v>
      </c>
      <c r="J209">
        <v>-2.07937E-4</v>
      </c>
      <c r="K209">
        <v>1.2478901000000001E-2</v>
      </c>
      <c r="L209">
        <f t="shared" si="15"/>
        <v>4.2188967715413349E-4</v>
      </c>
      <c r="M209">
        <f t="shared" si="16"/>
        <v>1.6535604428502609E-3</v>
      </c>
      <c r="N209">
        <f t="shared" si="17"/>
        <v>6.864116848528739E-4</v>
      </c>
      <c r="O209">
        <f t="shared" si="18"/>
        <v>1.3978883698109539E-4</v>
      </c>
      <c r="P209">
        <f t="shared" si="19"/>
        <v>7.5558401741348668E-4</v>
      </c>
    </row>
    <row r="210" spans="1:16" x14ac:dyDescent="0.25">
      <c r="A210" s="2">
        <v>40536</v>
      </c>
      <c r="B210">
        <v>7.3003800000000002E-4</v>
      </c>
      <c r="C210">
        <v>4.2329669999999998E-3</v>
      </c>
      <c r="D210">
        <v>6.1249399999999999E-4</v>
      </c>
      <c r="E210">
        <v>-1.2397849000000001E-2</v>
      </c>
      <c r="F210">
        <v>2.1324460000000001E-3</v>
      </c>
      <c r="G210">
        <v>0</v>
      </c>
      <c r="H210">
        <v>-1.0022903E-2</v>
      </c>
      <c r="I210">
        <v>1.8304700000000001E-4</v>
      </c>
      <c r="J210">
        <v>-2.4748510000000001E-3</v>
      </c>
      <c r="K210">
        <v>4.2329669999999998E-3</v>
      </c>
      <c r="L210">
        <f t="shared" si="15"/>
        <v>2.8853325358674398E-3</v>
      </c>
      <c r="M210">
        <f t="shared" si="16"/>
        <v>1.5434214034352241E-4</v>
      </c>
      <c r="N210">
        <f t="shared" si="17"/>
        <v>-2.2766345015204316E-4</v>
      </c>
      <c r="O210">
        <f t="shared" si="18"/>
        <v>-1.5289317167868418E-3</v>
      </c>
      <c r="P210">
        <f t="shared" si="19"/>
        <v>2.6352274152103066E-3</v>
      </c>
    </row>
    <row r="211" spans="1:16" x14ac:dyDescent="0.25">
      <c r="A211" s="2">
        <v>40539</v>
      </c>
      <c r="B211">
        <v>1.3457600000000001E-3</v>
      </c>
      <c r="C211">
        <v>6.3400000000000001E-4</v>
      </c>
      <c r="D211">
        <v>0</v>
      </c>
      <c r="E211">
        <v>0</v>
      </c>
      <c r="F211">
        <v>-2.0824139999999999E-3</v>
      </c>
      <c r="G211">
        <v>7.4436329999999998E-3</v>
      </c>
      <c r="H211">
        <v>0</v>
      </c>
      <c r="I211">
        <v>-5.8606650000000001E-3</v>
      </c>
      <c r="J211">
        <v>-2.4166890000000001E-3</v>
      </c>
      <c r="K211">
        <v>6.3400000000000001E-4</v>
      </c>
      <c r="L211">
        <f t="shared" si="15"/>
        <v>-6.6566725654653176E-3</v>
      </c>
      <c r="M211">
        <f t="shared" si="16"/>
        <v>1.7515259854328823E-3</v>
      </c>
      <c r="N211">
        <f t="shared" si="17"/>
        <v>-3.0275887118576808E-3</v>
      </c>
      <c r="O211">
        <f t="shared" si="18"/>
        <v>3.7104128667719101E-4</v>
      </c>
      <c r="P211">
        <f t="shared" si="19"/>
        <v>-4.3069684530058217E-3</v>
      </c>
    </row>
    <row r="212" spans="1:16" x14ac:dyDescent="0.25">
      <c r="A212" s="2">
        <v>40540</v>
      </c>
      <c r="B212">
        <v>1.285406E-3</v>
      </c>
      <c r="C212">
        <v>4.3838200000000002E-4</v>
      </c>
      <c r="D212">
        <v>7.7105000000000001E-4</v>
      </c>
      <c r="E212">
        <v>1.96517E-4</v>
      </c>
      <c r="F212">
        <v>0</v>
      </c>
      <c r="G212">
        <v>-6.1369909999999996E-3</v>
      </c>
      <c r="H212">
        <v>3.5040230000000002E-3</v>
      </c>
      <c r="I212">
        <v>2.0857499999999999E-4</v>
      </c>
      <c r="J212">
        <v>-1.95527E-4</v>
      </c>
      <c r="K212">
        <v>4.3838200000000002E-4</v>
      </c>
      <c r="L212">
        <f t="shared" si="15"/>
        <v>-1.3608645486172001E-4</v>
      </c>
      <c r="M212">
        <f t="shared" si="16"/>
        <v>1.9997947369108727E-3</v>
      </c>
      <c r="N212">
        <f t="shared" si="17"/>
        <v>2.1445359456527253E-4</v>
      </c>
      <c r="O212">
        <f t="shared" si="18"/>
        <v>2.8358867757397152E-4</v>
      </c>
      <c r="P212">
        <f t="shared" si="19"/>
        <v>-3.297492760903349E-4</v>
      </c>
    </row>
    <row r="213" spans="1:16" x14ac:dyDescent="0.25">
      <c r="A213" s="2">
        <v>40541</v>
      </c>
      <c r="B213">
        <v>4.1714789999999996E-3</v>
      </c>
      <c r="C213">
        <v>-5.5817740000000003E-3</v>
      </c>
      <c r="D213">
        <v>1.0086209999999999E-3</v>
      </c>
      <c r="E213">
        <v>3.3463260000000002E-3</v>
      </c>
      <c r="F213">
        <v>0</v>
      </c>
      <c r="G213">
        <v>5.0307390000000002E-3</v>
      </c>
      <c r="H213">
        <v>1.3300146000000001E-2</v>
      </c>
      <c r="I213">
        <v>1.923258E-3</v>
      </c>
      <c r="J213">
        <v>7.8614659999999992E-3</v>
      </c>
      <c r="K213">
        <v>-5.5817740000000003E-3</v>
      </c>
      <c r="L213">
        <f t="shared" si="15"/>
        <v>7.1240369523254878E-3</v>
      </c>
      <c r="M213">
        <f t="shared" si="16"/>
        <v>4.8667372116873008E-3</v>
      </c>
      <c r="N213">
        <f t="shared" si="17"/>
        <v>7.764842308393442E-3</v>
      </c>
      <c r="O213">
        <f t="shared" si="18"/>
        <v>6.6052804731476364E-3</v>
      </c>
      <c r="P213">
        <f t="shared" si="19"/>
        <v>6.4579396237086899E-3</v>
      </c>
    </row>
    <row r="214" spans="1:16" x14ac:dyDescent="0.25">
      <c r="A214" s="2">
        <v>40542</v>
      </c>
      <c r="B214">
        <v>1.5346509999999999E-3</v>
      </c>
      <c r="C214">
        <v>8.4384979999999991E-3</v>
      </c>
      <c r="D214">
        <v>-1.509338E-3</v>
      </c>
      <c r="E214">
        <v>-1.1686975E-2</v>
      </c>
      <c r="F214">
        <v>-4.2448720000000002E-3</v>
      </c>
      <c r="G214">
        <v>-1.1239842E-2</v>
      </c>
      <c r="H214">
        <v>5.1064429999999996E-3</v>
      </c>
      <c r="I214">
        <v>-9.1907099999999995E-3</v>
      </c>
      <c r="J214">
        <v>3.31358E-3</v>
      </c>
      <c r="K214">
        <v>8.4384979999999991E-3</v>
      </c>
      <c r="L214">
        <f t="shared" si="15"/>
        <v>-5.202893970364034E-3</v>
      </c>
      <c r="M214">
        <f t="shared" si="16"/>
        <v>-6.2671057277020967E-4</v>
      </c>
      <c r="N214">
        <f t="shared" si="17"/>
        <v>-3.1120981094676179E-3</v>
      </c>
      <c r="O214">
        <f t="shared" si="18"/>
        <v>-4.7325177733676367E-3</v>
      </c>
      <c r="P214">
        <f t="shared" si="19"/>
        <v>-3.3943670049835068E-3</v>
      </c>
    </row>
    <row r="215" spans="1:16" x14ac:dyDescent="0.25">
      <c r="A215" s="2">
        <v>40543</v>
      </c>
      <c r="B215">
        <v>-1.2311844000000001E-2</v>
      </c>
      <c r="C215">
        <v>-6.861097E-3</v>
      </c>
      <c r="D215">
        <v>-1.90815E-4</v>
      </c>
      <c r="E215">
        <v>0</v>
      </c>
      <c r="F215">
        <v>-1.1979016E-2</v>
      </c>
      <c r="G215">
        <v>1.6404095E-2</v>
      </c>
      <c r="H215">
        <v>9.4351839999999992E-3</v>
      </c>
      <c r="I215">
        <v>-6.1578609999999997E-3</v>
      </c>
      <c r="J215">
        <v>2.7893869999999999E-3</v>
      </c>
      <c r="K215">
        <v>-6.861097E-3</v>
      </c>
      <c r="L215">
        <f t="shared" si="15"/>
        <v>6.7142242468138692E-4</v>
      </c>
      <c r="M215">
        <f t="shared" si="16"/>
        <v>2.7349195986573747E-3</v>
      </c>
      <c r="N215">
        <f t="shared" si="17"/>
        <v>1.0281917814124308E-3</v>
      </c>
      <c r="O215">
        <f t="shared" si="18"/>
        <v>2.6791350900390587E-3</v>
      </c>
      <c r="P215">
        <f t="shared" si="19"/>
        <v>-1.4785924869126468E-3</v>
      </c>
    </row>
    <row r="216" spans="1:16" x14ac:dyDescent="0.25">
      <c r="A216" s="2">
        <v>40546</v>
      </c>
      <c r="B216">
        <v>2.4002222E-2</v>
      </c>
      <c r="C216">
        <v>1.7515472000000001E-2</v>
      </c>
      <c r="D216">
        <v>1.125131E-2</v>
      </c>
      <c r="E216">
        <v>1.0867538E-2</v>
      </c>
      <c r="F216">
        <v>1.9138055000000001E-2</v>
      </c>
      <c r="G216">
        <v>0</v>
      </c>
      <c r="H216">
        <v>0</v>
      </c>
      <c r="I216">
        <v>9.6329299999999996E-3</v>
      </c>
      <c r="J216">
        <v>8.1676700000000001E-3</v>
      </c>
      <c r="K216">
        <v>1.7515472000000001E-2</v>
      </c>
      <c r="L216">
        <f t="shared" si="15"/>
        <v>1.1378692731404096E-2</v>
      </c>
      <c r="M216">
        <f t="shared" si="16"/>
        <v>7.4381903226160163E-3</v>
      </c>
      <c r="N216">
        <f t="shared" si="17"/>
        <v>1.2743762508581821E-2</v>
      </c>
      <c r="O216">
        <f t="shared" si="18"/>
        <v>1.2295558727313877E-2</v>
      </c>
      <c r="P216">
        <f t="shared" si="19"/>
        <v>1.6051842410907451E-2</v>
      </c>
    </row>
    <row r="217" spans="1:16" x14ac:dyDescent="0.25">
      <c r="A217" s="2">
        <v>40547</v>
      </c>
      <c r="B217">
        <v>9.0402009999999994E-3</v>
      </c>
      <c r="C217">
        <v>1.1047589999999999E-2</v>
      </c>
      <c r="D217">
        <v>-1.3138900000000001E-3</v>
      </c>
      <c r="E217">
        <v>-2.060854E-3</v>
      </c>
      <c r="F217">
        <v>0</v>
      </c>
      <c r="G217">
        <v>0</v>
      </c>
      <c r="H217">
        <v>5.0755740000000002E-3</v>
      </c>
      <c r="I217">
        <v>6.5765340000000002E-3</v>
      </c>
      <c r="J217">
        <v>4.2387550000000003E-3</v>
      </c>
      <c r="K217">
        <v>1.1047589999999999E-2</v>
      </c>
      <c r="L217">
        <f t="shared" si="15"/>
        <v>1.1683653732051347E-2</v>
      </c>
      <c r="M217">
        <f t="shared" si="16"/>
        <v>3.2764861301343203E-3</v>
      </c>
      <c r="N217">
        <f t="shared" si="17"/>
        <v>7.411425723044123E-3</v>
      </c>
      <c r="O217">
        <f t="shared" si="18"/>
        <v>4.0962583713066002E-3</v>
      </c>
      <c r="P217">
        <f t="shared" si="19"/>
        <v>7.8956450735893063E-3</v>
      </c>
    </row>
    <row r="218" spans="1:16" x14ac:dyDescent="0.25">
      <c r="A218" s="2">
        <v>40548</v>
      </c>
      <c r="B218">
        <v>8.8595449999999999E-3</v>
      </c>
      <c r="C218">
        <v>1.1780211000000001E-2</v>
      </c>
      <c r="D218">
        <v>4.994592E-3</v>
      </c>
      <c r="E218">
        <v>-5.106668E-3</v>
      </c>
      <c r="F218">
        <v>4.976042E-3</v>
      </c>
      <c r="G218">
        <v>-1.6680410000000001E-3</v>
      </c>
      <c r="H218">
        <v>1.0932935E-2</v>
      </c>
      <c r="I218">
        <v>-5.4829100000000001E-4</v>
      </c>
      <c r="J218">
        <v>-1.1801170000000001E-3</v>
      </c>
      <c r="K218">
        <v>1.1780211000000001E-2</v>
      </c>
      <c r="L218">
        <f t="shared" si="15"/>
        <v>-4.8332182141580544E-3</v>
      </c>
      <c r="M218">
        <f t="shared" si="16"/>
        <v>2.8404162072340677E-3</v>
      </c>
      <c r="N218">
        <f t="shared" si="17"/>
        <v>-1.0263972944550008E-3</v>
      </c>
      <c r="O218">
        <f t="shared" si="18"/>
        <v>7.7219938286203764E-4</v>
      </c>
      <c r="P218">
        <f t="shared" si="19"/>
        <v>-2.5563008534453613E-3</v>
      </c>
    </row>
    <row r="219" spans="1:16" x14ac:dyDescent="0.25">
      <c r="A219" s="2">
        <v>40549</v>
      </c>
      <c r="B219">
        <v>6.9823560000000003E-3</v>
      </c>
      <c r="C219">
        <v>6.8502199999999997E-3</v>
      </c>
      <c r="D219">
        <v>-2.1251489999999998E-3</v>
      </c>
      <c r="E219">
        <v>5.9722000000000004E-3</v>
      </c>
      <c r="F219">
        <v>-4.0452999999999999E-3</v>
      </c>
      <c r="G219">
        <v>1.4250478E-2</v>
      </c>
      <c r="H219">
        <v>-7.2280970000000002E-3</v>
      </c>
      <c r="I219">
        <v>-6.2024300000000003E-4</v>
      </c>
      <c r="J219">
        <v>-2.6460260000000001E-3</v>
      </c>
      <c r="K219">
        <v>6.8502199999999997E-3</v>
      </c>
      <c r="L219">
        <f t="shared" si="15"/>
        <v>1.6471712417319589E-3</v>
      </c>
      <c r="M219">
        <f t="shared" si="16"/>
        <v>2.5916119707167342E-3</v>
      </c>
      <c r="N219">
        <f t="shared" si="17"/>
        <v>9.1725632382372736E-4</v>
      </c>
      <c r="O219">
        <f t="shared" si="18"/>
        <v>3.5307456374317342E-3</v>
      </c>
      <c r="P219">
        <f t="shared" si="19"/>
        <v>7.507188638145334E-4</v>
      </c>
    </row>
    <row r="220" spans="1:16" x14ac:dyDescent="0.25">
      <c r="A220" s="2">
        <v>40550</v>
      </c>
      <c r="B220">
        <v>-7.8351219999999999E-3</v>
      </c>
      <c r="C220">
        <v>-1.8754847000000002E-2</v>
      </c>
      <c r="D220">
        <v>-1.846505E-3</v>
      </c>
      <c r="E220">
        <v>-4.8172170000000004E-3</v>
      </c>
      <c r="F220">
        <v>-5.8648260000000001E-3</v>
      </c>
      <c r="G220">
        <v>1.070676E-3</v>
      </c>
      <c r="H220">
        <v>-7.423453E-3</v>
      </c>
      <c r="I220">
        <v>-5.4613969999999998E-3</v>
      </c>
      <c r="J220">
        <v>-6.8197099999999997E-3</v>
      </c>
      <c r="K220">
        <v>-1.8754847000000002E-2</v>
      </c>
      <c r="L220">
        <f t="shared" si="15"/>
        <v>-6.3945854087833244E-3</v>
      </c>
      <c r="M220">
        <f t="shared" si="16"/>
        <v>-6.1226438565995791E-4</v>
      </c>
      <c r="N220">
        <f t="shared" si="17"/>
        <v>-6.4159090100950897E-3</v>
      </c>
      <c r="O220">
        <f t="shared" si="18"/>
        <v>-4.0977206886295666E-3</v>
      </c>
      <c r="P220">
        <f t="shared" si="19"/>
        <v>-6.6420789347221704E-3</v>
      </c>
    </row>
    <row r="221" spans="1:16" x14ac:dyDescent="0.25">
      <c r="A221" s="2">
        <v>40553</v>
      </c>
      <c r="B221">
        <v>-1.3108757E-2</v>
      </c>
      <c r="C221">
        <v>-2.6324670000000001E-2</v>
      </c>
      <c r="D221">
        <v>-1.3772750000000001E-3</v>
      </c>
      <c r="E221">
        <v>-1.3152041E-2</v>
      </c>
      <c r="F221">
        <v>-4.6898900000000004E-3</v>
      </c>
      <c r="G221">
        <v>-2.8843269999999999E-3</v>
      </c>
      <c r="H221">
        <v>9.9868799999999996E-4</v>
      </c>
      <c r="I221">
        <v>-9.8457089999999994E-3</v>
      </c>
      <c r="J221">
        <v>-6.7086799999999999E-3</v>
      </c>
      <c r="K221">
        <v>-2.6324670000000001E-2</v>
      </c>
      <c r="L221">
        <f t="shared" si="15"/>
        <v>-1.3491782380308339E-2</v>
      </c>
      <c r="M221">
        <f t="shared" si="16"/>
        <v>-1.4995364862606282E-3</v>
      </c>
      <c r="N221">
        <f t="shared" si="17"/>
        <v>-9.839201372263795E-3</v>
      </c>
      <c r="O221">
        <f t="shared" si="18"/>
        <v>-7.1798132766406125E-3</v>
      </c>
      <c r="P221">
        <f t="shared" si="19"/>
        <v>-1.1458984571720275E-2</v>
      </c>
    </row>
    <row r="222" spans="1:16" x14ac:dyDescent="0.25">
      <c r="A222" s="2">
        <v>40554</v>
      </c>
      <c r="B222">
        <v>-3.0354819999999999E-3</v>
      </c>
      <c r="C222">
        <v>1.7947670000000001E-3</v>
      </c>
      <c r="D222">
        <v>3.7182220000000002E-3</v>
      </c>
      <c r="E222">
        <v>1.2249194999999999E-2</v>
      </c>
      <c r="F222">
        <v>9.6406019999999999E-3</v>
      </c>
      <c r="G222">
        <v>0</v>
      </c>
      <c r="H222">
        <v>4.2120300000000003E-3</v>
      </c>
      <c r="I222">
        <v>1.2638036E-2</v>
      </c>
      <c r="J222">
        <v>4.7726139999999997E-3</v>
      </c>
      <c r="K222">
        <v>1.7947670000000001E-3</v>
      </c>
      <c r="L222">
        <f t="shared" si="15"/>
        <v>1.3594700867541684E-2</v>
      </c>
      <c r="M222">
        <f t="shared" si="16"/>
        <v>6.5270588251091794E-3</v>
      </c>
      <c r="N222">
        <f t="shared" si="17"/>
        <v>1.1475432431252586E-2</v>
      </c>
      <c r="O222">
        <f t="shared" si="18"/>
        <v>1.0178145019652718E-2</v>
      </c>
      <c r="P222">
        <f t="shared" si="19"/>
        <v>1.2322034374446195E-2</v>
      </c>
    </row>
    <row r="223" spans="1:16" x14ac:dyDescent="0.25">
      <c r="A223" s="2">
        <v>40555</v>
      </c>
      <c r="B223">
        <v>3.7605270000000001E-3</v>
      </c>
      <c r="C223">
        <v>9.0640510000000001E-3</v>
      </c>
      <c r="D223">
        <v>8.9672689999999999E-3</v>
      </c>
      <c r="E223">
        <v>1.8159931000000001E-2</v>
      </c>
      <c r="F223">
        <v>6.083883E-3</v>
      </c>
      <c r="G223">
        <v>2.0167899999999999E-4</v>
      </c>
      <c r="H223">
        <v>1.7035946999999999E-2</v>
      </c>
      <c r="I223">
        <v>1.4396730999999999E-2</v>
      </c>
      <c r="J223">
        <v>1.1872228E-2</v>
      </c>
      <c r="K223">
        <v>9.0640510000000001E-3</v>
      </c>
      <c r="L223">
        <f t="shared" si="15"/>
        <v>2.0521736134620126E-2</v>
      </c>
      <c r="M223">
        <f t="shared" si="16"/>
        <v>8.9749012443758516E-3</v>
      </c>
      <c r="N223">
        <f t="shared" si="17"/>
        <v>1.707802842657306E-2</v>
      </c>
      <c r="O223">
        <f t="shared" si="18"/>
        <v>1.4337077087873542E-2</v>
      </c>
      <c r="P223">
        <f t="shared" si="19"/>
        <v>1.6990615536499321E-2</v>
      </c>
    </row>
    <row r="224" spans="1:16" x14ac:dyDescent="0.25">
      <c r="A224" s="2">
        <v>40556</v>
      </c>
      <c r="B224">
        <v>9.5467829999999997E-3</v>
      </c>
      <c r="C224">
        <v>1.6297587999999998E-2</v>
      </c>
      <c r="D224">
        <v>-1.7122490000000001E-3</v>
      </c>
      <c r="E224">
        <v>8.9508600000000002E-4</v>
      </c>
      <c r="F224">
        <v>-4.4390779999999999E-3</v>
      </c>
      <c r="G224">
        <v>7.2939340000000002E-3</v>
      </c>
      <c r="H224">
        <v>-1.2813303E-2</v>
      </c>
      <c r="I224">
        <v>-3.6748899999999998E-4</v>
      </c>
      <c r="J224">
        <v>-2.1093219999999998E-3</v>
      </c>
      <c r="K224">
        <v>1.6297587999999998E-2</v>
      </c>
      <c r="L224">
        <f t="shared" si="15"/>
        <v>4.706916315272227E-3</v>
      </c>
      <c r="M224">
        <f t="shared" si="16"/>
        <v>1.1959625928191601E-3</v>
      </c>
      <c r="N224">
        <f t="shared" si="17"/>
        <v>9.8347856082217611E-4</v>
      </c>
      <c r="O224">
        <f t="shared" si="18"/>
        <v>1.3166205056562214E-3</v>
      </c>
      <c r="P224">
        <f t="shared" si="19"/>
        <v>2.8376482602516101E-3</v>
      </c>
    </row>
    <row r="225" spans="1:16" x14ac:dyDescent="0.25">
      <c r="A225" s="2">
        <v>40557</v>
      </c>
      <c r="B225">
        <v>-1.0199048E-2</v>
      </c>
      <c r="C225">
        <v>-4.7002279999999999E-3</v>
      </c>
      <c r="D225">
        <v>7.3574260000000002E-3</v>
      </c>
      <c r="E225" s="1">
        <v>8.3387500000000001E-5</v>
      </c>
      <c r="F225">
        <v>-3.6254820000000002E-3</v>
      </c>
      <c r="G225">
        <v>-8.6036719999999997E-3</v>
      </c>
      <c r="H225">
        <v>3.0918909999999998E-3</v>
      </c>
      <c r="I225">
        <v>-7.6123900000000003E-4</v>
      </c>
      <c r="J225">
        <v>2.3761999999999999E-4</v>
      </c>
      <c r="K225">
        <v>-4.7002279999999999E-3</v>
      </c>
      <c r="L225">
        <f t="shared" si="15"/>
        <v>1.9947465408314911E-3</v>
      </c>
      <c r="M225">
        <f t="shared" si="16"/>
        <v>1.8380251393390274E-3</v>
      </c>
      <c r="N225">
        <f t="shared" si="17"/>
        <v>-1.4805338829107636E-4</v>
      </c>
      <c r="O225">
        <f t="shared" si="18"/>
        <v>-3.6118020057948532E-4</v>
      </c>
      <c r="P225">
        <f t="shared" si="19"/>
        <v>3.4265672239421042E-4</v>
      </c>
    </row>
    <row r="226" spans="1:16" x14ac:dyDescent="0.25">
      <c r="A226" s="2">
        <v>40560</v>
      </c>
      <c r="B226">
        <v>-1.5563410999999999E-2</v>
      </c>
      <c r="C226">
        <v>-1.5367702E-2</v>
      </c>
      <c r="D226">
        <v>1.3754419999999999E-3</v>
      </c>
      <c r="E226">
        <v>3.3347999999999999E-4</v>
      </c>
      <c r="F226">
        <v>-2.7361170000000001E-3</v>
      </c>
      <c r="G226">
        <v>3.6377700000000002E-4</v>
      </c>
      <c r="H226">
        <v>-4.6768340000000004E-3</v>
      </c>
      <c r="I226">
        <v>-2.1467610000000001E-3</v>
      </c>
      <c r="J226">
        <v>-4.5367070000000001E-3</v>
      </c>
      <c r="K226">
        <v>-1.5367702E-2</v>
      </c>
      <c r="L226">
        <f t="shared" si="15"/>
        <v>-2.8762096645848574E-3</v>
      </c>
      <c r="M226">
        <f t="shared" si="16"/>
        <v>1.0971988806296701E-3</v>
      </c>
      <c r="N226">
        <f t="shared" si="17"/>
        <v>-3.0475917587689276E-3</v>
      </c>
      <c r="O226">
        <f t="shared" si="18"/>
        <v>-9.3815264879709291E-4</v>
      </c>
      <c r="P226">
        <f t="shared" si="19"/>
        <v>-3.0460929630913461E-3</v>
      </c>
    </row>
    <row r="227" spans="1:16" x14ac:dyDescent="0.25">
      <c r="A227" s="2">
        <v>40561</v>
      </c>
      <c r="B227">
        <v>-6.0494110000000002E-3</v>
      </c>
      <c r="C227">
        <v>4.5795269999999999E-3</v>
      </c>
      <c r="D227">
        <v>0</v>
      </c>
      <c r="E227">
        <v>9.1959940000000007E-3</v>
      </c>
      <c r="F227">
        <v>1.1742272999999999E-2</v>
      </c>
      <c r="G227">
        <v>1.5336429999999999E-3</v>
      </c>
      <c r="H227">
        <v>4.3948659999999999E-3</v>
      </c>
      <c r="I227">
        <v>1.0994785E-2</v>
      </c>
      <c r="J227">
        <v>2.4058769999999998E-3</v>
      </c>
      <c r="K227">
        <v>4.5795269999999999E-3</v>
      </c>
      <c r="L227">
        <f t="shared" si="15"/>
        <v>8.1945602678933308E-3</v>
      </c>
      <c r="M227">
        <f t="shared" si="16"/>
        <v>5.8776516723761021E-3</v>
      </c>
      <c r="N227">
        <f t="shared" si="17"/>
        <v>8.8694667678517903E-3</v>
      </c>
      <c r="O227">
        <f t="shared" si="18"/>
        <v>8.7020943182672811E-3</v>
      </c>
      <c r="P227">
        <f t="shared" si="19"/>
        <v>8.7345741152703715E-3</v>
      </c>
    </row>
    <row r="228" spans="1:16" x14ac:dyDescent="0.25">
      <c r="A228" s="2">
        <v>40562</v>
      </c>
      <c r="B228">
        <v>5.2072700000000002E-4</v>
      </c>
      <c r="C228">
        <v>-3.2090069999999998E-3</v>
      </c>
      <c r="D228">
        <v>-1.0167185E-2</v>
      </c>
      <c r="E228">
        <v>-8.5321909999999997E-3</v>
      </c>
      <c r="F228">
        <v>-1.3246987999999999E-2</v>
      </c>
      <c r="G228">
        <v>3.6173749999999999E-3</v>
      </c>
      <c r="H228">
        <v>-1.2229011E-2</v>
      </c>
      <c r="I228">
        <v>-1.0644610000000001E-2</v>
      </c>
      <c r="J228">
        <v>1.085768E-3</v>
      </c>
      <c r="K228">
        <v>-3.2090069999999998E-3</v>
      </c>
      <c r="L228">
        <f t="shared" si="15"/>
        <v>-4.8137222754686122E-4</v>
      </c>
      <c r="M228">
        <f t="shared" si="16"/>
        <v>-2.0459110181339515E-3</v>
      </c>
      <c r="N228">
        <f t="shared" si="17"/>
        <v>-2.8365391144594583E-3</v>
      </c>
      <c r="O228">
        <f t="shared" si="18"/>
        <v>-4.3888027226710244E-3</v>
      </c>
      <c r="P228">
        <f t="shared" si="19"/>
        <v>-1.7332067219810844E-3</v>
      </c>
    </row>
    <row r="229" spans="1:16" x14ac:dyDescent="0.25">
      <c r="A229" s="2">
        <v>40563</v>
      </c>
      <c r="B229">
        <v>-1.7835034999999999E-2</v>
      </c>
      <c r="C229">
        <v>-3.1651659999999998E-2</v>
      </c>
      <c r="D229">
        <v>-1.2957719999999999E-3</v>
      </c>
      <c r="E229">
        <v>-8.2923670000000001E-3</v>
      </c>
      <c r="F229">
        <v>-1.8371757999999998E-2</v>
      </c>
      <c r="G229">
        <v>-1.1411733E-2</v>
      </c>
      <c r="H229">
        <v>-7.1050289999999997E-3</v>
      </c>
      <c r="I229">
        <v>-1.0087878999999999E-2</v>
      </c>
      <c r="J229">
        <v>-1.0442022E-2</v>
      </c>
      <c r="K229">
        <v>-3.1651659999999998E-2</v>
      </c>
      <c r="L229">
        <f t="shared" si="15"/>
        <v>-9.5696592032187416E-3</v>
      </c>
      <c r="M229">
        <f t="shared" si="16"/>
        <v>-3.7766591777503617E-3</v>
      </c>
      <c r="N229">
        <f t="shared" si="17"/>
        <v>-1.3017498090529833E-2</v>
      </c>
      <c r="O229">
        <f t="shared" si="18"/>
        <v>-1.1468007261837261E-2</v>
      </c>
      <c r="P229">
        <f t="shared" si="19"/>
        <v>-1.389279308499658E-2</v>
      </c>
    </row>
    <row r="230" spans="1:16" x14ac:dyDescent="0.25">
      <c r="A230" s="2">
        <v>40564</v>
      </c>
      <c r="B230">
        <v>9.7440600000000006E-3</v>
      </c>
      <c r="C230">
        <v>-5.1083300000000003E-4</v>
      </c>
      <c r="D230">
        <v>2.4106639999999999E-3</v>
      </c>
      <c r="E230">
        <v>5.4164740000000001E-3</v>
      </c>
      <c r="F230">
        <v>4.8282170000000001E-3</v>
      </c>
      <c r="G230">
        <v>-1.5719842000000001E-2</v>
      </c>
      <c r="H230">
        <v>-6.1862560000000002E-3</v>
      </c>
      <c r="I230">
        <v>8.3960400000000004E-3</v>
      </c>
      <c r="J230">
        <v>-6.8535209999999996E-3</v>
      </c>
      <c r="K230">
        <v>-5.1083300000000003E-4</v>
      </c>
      <c r="L230">
        <f t="shared" si="15"/>
        <v>2.4834072848249453E-3</v>
      </c>
      <c r="M230">
        <f t="shared" si="16"/>
        <v>1.791720490273324E-3</v>
      </c>
      <c r="N230">
        <f t="shared" si="17"/>
        <v>-6.3362679135440777E-4</v>
      </c>
      <c r="O230">
        <f t="shared" si="18"/>
        <v>-4.3607511290581053E-4</v>
      </c>
      <c r="P230">
        <f t="shared" si="19"/>
        <v>3.7266820327780262E-4</v>
      </c>
    </row>
    <row r="231" spans="1:16" x14ac:dyDescent="0.25">
      <c r="A231" s="2">
        <v>40567</v>
      </c>
      <c r="B231">
        <v>-1.1067076E-2</v>
      </c>
      <c r="C231">
        <v>-7.4262540000000002E-3</v>
      </c>
      <c r="D231">
        <v>5.8193230000000004E-3</v>
      </c>
      <c r="E231">
        <v>7.5724400000000002E-4</v>
      </c>
      <c r="F231">
        <v>8.0404480000000004E-3</v>
      </c>
      <c r="G231">
        <v>6.8469000000000004E-3</v>
      </c>
      <c r="H231">
        <v>4.2436549999999998E-3</v>
      </c>
      <c r="I231">
        <v>4.157979E-3</v>
      </c>
      <c r="J231">
        <v>-1.1447549999999999E-3</v>
      </c>
      <c r="K231">
        <v>-7.4262540000000002E-3</v>
      </c>
      <c r="L231">
        <f t="shared" si="15"/>
        <v>1.0860503225941036E-3</v>
      </c>
      <c r="M231">
        <f t="shared" si="16"/>
        <v>4.4383735612142303E-3</v>
      </c>
      <c r="N231">
        <f t="shared" si="17"/>
        <v>3.0044356009126614E-3</v>
      </c>
      <c r="O231">
        <f t="shared" si="18"/>
        <v>5.1740570695386198E-3</v>
      </c>
      <c r="P231">
        <f t="shared" si="19"/>
        <v>2.8367200949164454E-3</v>
      </c>
    </row>
    <row r="232" spans="1:16" x14ac:dyDescent="0.25">
      <c r="A232" s="2">
        <v>40568</v>
      </c>
      <c r="B232">
        <v>-7.4888000000000005E-4</v>
      </c>
      <c r="C232">
        <v>4.6386450000000003E-3</v>
      </c>
      <c r="D232">
        <v>2.6336000000000003E-4</v>
      </c>
      <c r="E232">
        <v>-1.2401980000000001E-3</v>
      </c>
      <c r="F232">
        <v>-4.4176240000000002E-3</v>
      </c>
      <c r="G232">
        <v>1.1466987E-2</v>
      </c>
      <c r="H232">
        <v>-1.0395646E-2</v>
      </c>
      <c r="I232">
        <v>-4.0441519999999996E-3</v>
      </c>
      <c r="J232">
        <v>-8.8548900000000005E-4</v>
      </c>
      <c r="K232">
        <v>4.6386450000000003E-3</v>
      </c>
      <c r="L232">
        <f t="shared" si="15"/>
        <v>1.726350834578701E-3</v>
      </c>
      <c r="M232">
        <f t="shared" si="16"/>
        <v>1.3578788328175899E-3</v>
      </c>
      <c r="N232">
        <f t="shared" si="17"/>
        <v>1.898691623048466E-4</v>
      </c>
      <c r="O232">
        <f t="shared" si="18"/>
        <v>1.5061596169345204E-3</v>
      </c>
      <c r="P232">
        <f t="shared" si="19"/>
        <v>1.7471932439441984E-3</v>
      </c>
    </row>
    <row r="233" spans="1:16" x14ac:dyDescent="0.25">
      <c r="A233" s="2">
        <v>40569</v>
      </c>
      <c r="B233">
        <v>1.2326085000000001E-2</v>
      </c>
      <c r="C233">
        <v>5.404402E-3</v>
      </c>
      <c r="D233">
        <v>4.2120619999999999E-3</v>
      </c>
      <c r="E233">
        <v>9.6346810000000008E-3</v>
      </c>
      <c r="F233">
        <v>8.6650549999999996E-3</v>
      </c>
      <c r="G233">
        <v>-5.9924499999999999E-3</v>
      </c>
      <c r="H233">
        <v>0</v>
      </c>
      <c r="I233">
        <v>7.0969010000000001E-3</v>
      </c>
      <c r="J233">
        <v>5.0185250000000002E-3</v>
      </c>
      <c r="K233">
        <v>5.404402E-3</v>
      </c>
      <c r="L233">
        <f t="shared" si="15"/>
        <v>9.0583202479785335E-3</v>
      </c>
      <c r="M233">
        <f t="shared" si="16"/>
        <v>4.9202626070095085E-3</v>
      </c>
      <c r="N233">
        <f t="shared" si="17"/>
        <v>8.2947588708411416E-3</v>
      </c>
      <c r="O233">
        <f t="shared" si="18"/>
        <v>7.0757684474898443E-3</v>
      </c>
      <c r="P233">
        <f t="shared" si="19"/>
        <v>9.972812685962321E-3</v>
      </c>
    </row>
    <row r="234" spans="1:16" x14ac:dyDescent="0.25">
      <c r="A234" s="2">
        <v>40570</v>
      </c>
      <c r="B234">
        <v>-1.4082114E-2</v>
      </c>
      <c r="C234">
        <v>-1.4976415E-2</v>
      </c>
      <c r="D234">
        <v>2.2417650000000002E-3</v>
      </c>
      <c r="E234">
        <v>3.9529760000000004E-3</v>
      </c>
      <c r="F234">
        <v>-6.8709499999999998E-4</v>
      </c>
      <c r="G234">
        <v>7.3523260000000002E-3</v>
      </c>
      <c r="H234">
        <v>-9.6227710000000004E-3</v>
      </c>
      <c r="I234">
        <v>1.91942E-3</v>
      </c>
      <c r="J234">
        <v>-1.1489029999999999E-3</v>
      </c>
      <c r="K234">
        <v>-1.4976415E-2</v>
      </c>
      <c r="L234">
        <f t="shared" si="15"/>
        <v>5.7710227345984695E-3</v>
      </c>
      <c r="M234">
        <f t="shared" si="16"/>
        <v>2.6457067601561189E-3</v>
      </c>
      <c r="N234">
        <f t="shared" si="17"/>
        <v>2.8246115138396786E-3</v>
      </c>
      <c r="O234">
        <f t="shared" si="18"/>
        <v>3.663802669106586E-3</v>
      </c>
      <c r="P234">
        <f t="shared" si="19"/>
        <v>4.6858926327453931E-3</v>
      </c>
    </row>
    <row r="235" spans="1:16" x14ac:dyDescent="0.25">
      <c r="A235" s="2">
        <v>40571</v>
      </c>
      <c r="B235">
        <v>-2.8498177999999999E-2</v>
      </c>
      <c r="C235">
        <v>-3.8598965999999998E-2</v>
      </c>
      <c r="D235">
        <v>-1.8013748999999999E-2</v>
      </c>
      <c r="E235">
        <v>-7.4033989999999997E-3</v>
      </c>
      <c r="F235">
        <v>-1.4130991000000001E-2</v>
      </c>
      <c r="G235">
        <v>-1.1355753E-2</v>
      </c>
      <c r="H235">
        <v>-2.0082457000000001E-2</v>
      </c>
      <c r="I235">
        <v>-1.0477804E-2</v>
      </c>
      <c r="J235">
        <v>-9.9119189999999999E-3</v>
      </c>
      <c r="K235">
        <v>-3.8598965999999998E-2</v>
      </c>
      <c r="L235">
        <f t="shared" si="15"/>
        <v>-1.0684612697773847E-2</v>
      </c>
      <c r="M235">
        <f t="shared" si="16"/>
        <v>-5.3073962649016152E-3</v>
      </c>
      <c r="N235">
        <f t="shared" si="17"/>
        <v>-1.2102498292124394E-2</v>
      </c>
      <c r="O235">
        <f t="shared" si="18"/>
        <v>-1.1954442279626866E-2</v>
      </c>
      <c r="P235">
        <f t="shared" si="19"/>
        <v>-1.2396379607757838E-2</v>
      </c>
    </row>
    <row r="236" spans="1:16" x14ac:dyDescent="0.25">
      <c r="A236" s="2">
        <v>40574</v>
      </c>
      <c r="B236">
        <v>1.056216E-3</v>
      </c>
      <c r="C236">
        <v>-8.8830330000000002E-3</v>
      </c>
      <c r="D236">
        <v>7.6333269999999996E-3</v>
      </c>
      <c r="E236">
        <v>-3.5711599999999999E-3</v>
      </c>
      <c r="F236">
        <v>-3.1504670000000001E-3</v>
      </c>
      <c r="G236">
        <v>-1.1886581E-2</v>
      </c>
      <c r="H236">
        <v>-1.845836E-3</v>
      </c>
      <c r="I236">
        <v>-2.6495109999999998E-3</v>
      </c>
      <c r="J236">
        <v>-5.7887190000000003E-3</v>
      </c>
      <c r="K236">
        <v>-8.8830330000000002E-3</v>
      </c>
      <c r="L236">
        <f t="shared" si="15"/>
        <v>-4.4908662066589708E-3</v>
      </c>
      <c r="M236">
        <f t="shared" si="16"/>
        <v>1.3043036142870506E-4</v>
      </c>
      <c r="N236">
        <f t="shared" si="17"/>
        <v>-5.7658356547512129E-3</v>
      </c>
      <c r="O236">
        <f t="shared" si="18"/>
        <v>-4.3147240915575868E-3</v>
      </c>
      <c r="P236">
        <f t="shared" si="19"/>
        <v>-5.2338885287474858E-3</v>
      </c>
    </row>
    <row r="237" spans="1:16" x14ac:dyDescent="0.25">
      <c r="A237" s="2">
        <v>40575</v>
      </c>
      <c r="B237">
        <v>2.4115793E-2</v>
      </c>
      <c r="C237">
        <v>3.5256817000000003E-2</v>
      </c>
      <c r="D237">
        <v>1.6555813999999999E-2</v>
      </c>
      <c r="E237">
        <v>1.4976002E-2</v>
      </c>
      <c r="F237">
        <v>1.6056924E-2</v>
      </c>
      <c r="G237">
        <v>3.5666230000000001E-3</v>
      </c>
      <c r="H237">
        <v>1.8926037999999999E-2</v>
      </c>
      <c r="I237">
        <v>1.5088585999999999E-2</v>
      </c>
      <c r="J237">
        <v>6.2238650000000003E-3</v>
      </c>
      <c r="K237">
        <v>3.5256817000000003E-2</v>
      </c>
      <c r="L237">
        <f t="shared" si="15"/>
        <v>1.2371414347159611E-2</v>
      </c>
      <c r="M237">
        <f t="shared" si="16"/>
        <v>9.8967303351874328E-3</v>
      </c>
      <c r="N237">
        <f t="shared" si="17"/>
        <v>1.3453517265473787E-2</v>
      </c>
      <c r="O237">
        <f t="shared" si="18"/>
        <v>1.4562956303885604E-2</v>
      </c>
      <c r="P237">
        <f t="shared" si="19"/>
        <v>1.3050173307406076E-2</v>
      </c>
    </row>
    <row r="238" spans="1:16" x14ac:dyDescent="0.25">
      <c r="A238" s="2">
        <v>40576</v>
      </c>
      <c r="B238">
        <v>7.4467550000000002E-3</v>
      </c>
      <c r="C238">
        <v>1.4238624E-2</v>
      </c>
      <c r="D238">
        <v>-2.7262789999999999E-3</v>
      </c>
      <c r="E238" s="1">
        <v>-8.3519300000000005E-5</v>
      </c>
      <c r="F238">
        <v>7.0748499999999997E-3</v>
      </c>
      <c r="G238">
        <v>1.7640939000000001E-2</v>
      </c>
      <c r="H238">
        <v>-1.7230143E-2</v>
      </c>
      <c r="I238">
        <v>1.6178239999999999E-3</v>
      </c>
      <c r="J238">
        <v>3.6313220000000002E-3</v>
      </c>
      <c r="K238">
        <v>1.4238624E-2</v>
      </c>
      <c r="L238">
        <f t="shared" si="15"/>
        <v>8.9652724710658268E-3</v>
      </c>
      <c r="M238">
        <f t="shared" si="16"/>
        <v>3.274005297220516E-3</v>
      </c>
      <c r="N238">
        <f t="shared" si="17"/>
        <v>7.7068688032777164E-3</v>
      </c>
      <c r="O238">
        <f t="shared" si="18"/>
        <v>7.3215601617014773E-3</v>
      </c>
      <c r="P238">
        <f t="shared" si="19"/>
        <v>1.1655524880933216E-2</v>
      </c>
    </row>
    <row r="239" spans="1:16" x14ac:dyDescent="0.25">
      <c r="A239" s="2">
        <v>40577</v>
      </c>
      <c r="B239">
        <v>-2.4478130000000001E-2</v>
      </c>
      <c r="C239">
        <v>-2.7850188000000001E-2</v>
      </c>
      <c r="D239">
        <v>2.3514730000000002E-3</v>
      </c>
      <c r="E239">
        <v>1.392468E-3</v>
      </c>
      <c r="F239">
        <v>-2.8038809999999998E-3</v>
      </c>
      <c r="G239">
        <v>-2.489383E-3</v>
      </c>
      <c r="H239">
        <v>1.1539639999999999E-3</v>
      </c>
      <c r="I239">
        <v>-2.8834680000000001E-3</v>
      </c>
      <c r="J239">
        <v>4.7605500000000002E-4</v>
      </c>
      <c r="K239">
        <v>-2.7850188000000001E-2</v>
      </c>
      <c r="L239">
        <f t="shared" si="15"/>
        <v>-7.6290544227139759E-4</v>
      </c>
      <c r="M239">
        <f t="shared" si="16"/>
        <v>1.8742003871458908E-3</v>
      </c>
      <c r="N239">
        <f t="shared" si="17"/>
        <v>-3.4650219714412096E-4</v>
      </c>
      <c r="O239">
        <f t="shared" si="18"/>
        <v>4.4252525806277431E-4</v>
      </c>
      <c r="P239">
        <f t="shared" si="19"/>
        <v>-5.3154103138489616E-4</v>
      </c>
    </row>
    <row r="240" spans="1:16" x14ac:dyDescent="0.25">
      <c r="A240" s="2">
        <v>40578</v>
      </c>
      <c r="B240">
        <v>2.4506610000000002E-2</v>
      </c>
      <c r="C240">
        <v>1.3959226999999999E-2</v>
      </c>
      <c r="D240">
        <v>2.880096E-3</v>
      </c>
      <c r="E240">
        <v>3.1270220000000001E-3</v>
      </c>
      <c r="F240">
        <v>2.353787E-3</v>
      </c>
      <c r="G240">
        <v>1.0694800000000001E-2</v>
      </c>
      <c r="H240">
        <v>-2.2661799999999999E-2</v>
      </c>
      <c r="I240">
        <v>2.7611480000000002E-3</v>
      </c>
      <c r="J240">
        <v>-3.1849349999999998E-3</v>
      </c>
      <c r="K240">
        <v>1.3959226999999999E-2</v>
      </c>
      <c r="L240">
        <f t="shared" si="15"/>
        <v>7.6239990843345491E-3</v>
      </c>
      <c r="M240">
        <f t="shared" si="16"/>
        <v>2.0946857454318115E-3</v>
      </c>
      <c r="N240">
        <f t="shared" si="17"/>
        <v>2.9675512964599635E-3</v>
      </c>
      <c r="O240">
        <f t="shared" si="18"/>
        <v>3.9884663750372343E-3</v>
      </c>
      <c r="P240">
        <f t="shared" si="19"/>
        <v>7.4182815425913179E-3</v>
      </c>
    </row>
    <row r="241" spans="1:16" x14ac:dyDescent="0.25">
      <c r="A241" s="2">
        <v>40581</v>
      </c>
      <c r="B241">
        <v>-6.1961000000000004E-3</v>
      </c>
      <c r="C241">
        <v>8.5528879999999998E-3</v>
      </c>
      <c r="D241">
        <v>6.2207419999999996E-3</v>
      </c>
      <c r="E241">
        <v>9.2981069999999999E-3</v>
      </c>
      <c r="F241">
        <v>8.8975059999999995E-3</v>
      </c>
      <c r="G241">
        <v>4.5913220000000001E-3</v>
      </c>
      <c r="H241">
        <v>1.4238580000000001E-3</v>
      </c>
      <c r="I241">
        <v>8.2166779999999998E-3</v>
      </c>
      <c r="J241">
        <v>-3.3457199999999999E-3</v>
      </c>
      <c r="K241">
        <v>8.5528879999999998E-3</v>
      </c>
      <c r="L241">
        <f t="shared" si="15"/>
        <v>2.8069262977120438E-3</v>
      </c>
      <c r="M241">
        <f t="shared" si="16"/>
        <v>5.2453513713188911E-3</v>
      </c>
      <c r="N241">
        <f t="shared" si="17"/>
        <v>3.6666556214883157E-3</v>
      </c>
      <c r="O241">
        <f t="shared" si="18"/>
        <v>6.6171533654882002E-3</v>
      </c>
      <c r="P241">
        <f t="shared" si="19"/>
        <v>3.4345579128077144E-3</v>
      </c>
    </row>
    <row r="242" spans="1:16" x14ac:dyDescent="0.25">
      <c r="A242" s="2">
        <v>40582</v>
      </c>
      <c r="B242">
        <v>5.3555870000000002E-3</v>
      </c>
      <c r="C242">
        <v>6.8857060000000001E-3</v>
      </c>
      <c r="D242">
        <v>4.1760979999999996E-3</v>
      </c>
      <c r="E242">
        <v>5.4248619999999999E-3</v>
      </c>
      <c r="F242">
        <v>6.6379760000000003E-3</v>
      </c>
      <c r="G242">
        <v>4.1398169999999996E-3</v>
      </c>
      <c r="H242">
        <v>6.2379619999999997E-3</v>
      </c>
      <c r="I242">
        <v>3.9802830000000003E-3</v>
      </c>
      <c r="J242">
        <v>-4.4989940000000001E-3</v>
      </c>
      <c r="K242">
        <v>6.8857060000000001E-3</v>
      </c>
      <c r="L242">
        <f t="shared" si="15"/>
        <v>-3.4557041176112922E-3</v>
      </c>
      <c r="M242">
        <f t="shared" si="16"/>
        <v>4.2800358806388671E-3</v>
      </c>
      <c r="N242">
        <f t="shared" si="17"/>
        <v>6.2048399157796103E-5</v>
      </c>
      <c r="O242">
        <f t="shared" si="18"/>
        <v>3.9493178679667843E-3</v>
      </c>
      <c r="P242">
        <f t="shared" si="19"/>
        <v>-1.8344002190782221E-3</v>
      </c>
    </row>
    <row r="243" spans="1:16" x14ac:dyDescent="0.25">
      <c r="A243" s="2">
        <v>40583</v>
      </c>
      <c r="B243">
        <v>4.8229869999999999E-3</v>
      </c>
      <c r="C243">
        <v>-3.25487E-3</v>
      </c>
      <c r="D243">
        <v>-2.7896969999999998E-3</v>
      </c>
      <c r="E243">
        <v>-3.19582E-4</v>
      </c>
      <c r="F243">
        <v>-6.4231590000000003E-3</v>
      </c>
      <c r="G243">
        <v>-1.707929E-3</v>
      </c>
      <c r="H243">
        <v>-2.3895466000000001E-2</v>
      </c>
      <c r="I243">
        <v>-3.0240610000000002E-3</v>
      </c>
      <c r="J243">
        <v>-1.4248555E-2</v>
      </c>
      <c r="K243">
        <v>-3.25487E-3</v>
      </c>
      <c r="L243">
        <f t="shared" si="15"/>
        <v>-6.5792931819648008E-3</v>
      </c>
      <c r="M243">
        <f t="shared" si="16"/>
        <v>-2.1088927586667178E-3</v>
      </c>
      <c r="N243">
        <f t="shared" si="17"/>
        <v>-9.7779385858133873E-3</v>
      </c>
      <c r="O243">
        <f t="shared" si="18"/>
        <v>-6.2587390306820976E-3</v>
      </c>
      <c r="P243">
        <f t="shared" si="19"/>
        <v>-8.1725632667861373E-3</v>
      </c>
    </row>
    <row r="244" spans="1:16" x14ac:dyDescent="0.25">
      <c r="A244" s="2">
        <v>40584</v>
      </c>
      <c r="B244">
        <v>-1.7664432000000001E-2</v>
      </c>
      <c r="C244">
        <v>-2.4920602E-2</v>
      </c>
      <c r="D244">
        <v>7.4921999999999999E-4</v>
      </c>
      <c r="E244">
        <v>2.6437180000000002E-3</v>
      </c>
      <c r="F244">
        <v>-5.3511059999999996E-3</v>
      </c>
      <c r="G244">
        <v>-1.147786E-3</v>
      </c>
      <c r="H244">
        <v>5.5902499999999997E-3</v>
      </c>
      <c r="I244">
        <v>-3.7424229999999999E-3</v>
      </c>
      <c r="J244">
        <v>-1.4759632E-2</v>
      </c>
      <c r="K244">
        <v>-2.4920602E-2</v>
      </c>
      <c r="L244">
        <f t="shared" si="15"/>
        <v>-1.7035156594983007E-2</v>
      </c>
      <c r="M244">
        <f t="shared" si="16"/>
        <v>5.0528152926270008E-4</v>
      </c>
      <c r="N244">
        <f t="shared" si="17"/>
        <v>-1.2363755377567464E-2</v>
      </c>
      <c r="O244">
        <f t="shared" si="18"/>
        <v>-5.1844872838175274E-3</v>
      </c>
      <c r="P244">
        <f t="shared" si="19"/>
        <v>-1.7186183971248829E-2</v>
      </c>
    </row>
    <row r="245" spans="1:16" x14ac:dyDescent="0.25">
      <c r="A245" s="2">
        <v>40585</v>
      </c>
      <c r="B245">
        <v>4.7822860000000002E-3</v>
      </c>
      <c r="C245">
        <v>6.4182199999999997E-3</v>
      </c>
      <c r="D245">
        <v>5.4922390000000003E-3</v>
      </c>
      <c r="E245">
        <v>4.203526E-3</v>
      </c>
      <c r="F245">
        <v>7.1009740000000003E-3</v>
      </c>
      <c r="G245">
        <v>1.1240935000000001E-2</v>
      </c>
      <c r="H245">
        <v>1.8077125999999999E-2</v>
      </c>
      <c r="I245">
        <v>4.7271869999999999E-3</v>
      </c>
      <c r="J245">
        <v>3.9308820000000001E-3</v>
      </c>
      <c r="K245">
        <v>6.4182199999999997E-3</v>
      </c>
      <c r="L245">
        <f t="shared" si="15"/>
        <v>2.7609735883463026E-3</v>
      </c>
      <c r="M245">
        <f t="shared" si="16"/>
        <v>6.5641196012051171E-3</v>
      </c>
      <c r="N245">
        <f t="shared" si="17"/>
        <v>6.7206578356796441E-3</v>
      </c>
      <c r="O245">
        <f t="shared" si="18"/>
        <v>8.690425721960035E-3</v>
      </c>
      <c r="P245">
        <f t="shared" si="19"/>
        <v>4.2130732133201449E-3</v>
      </c>
    </row>
    <row r="246" spans="1:16" x14ac:dyDescent="0.25">
      <c r="A246" s="2">
        <v>40588</v>
      </c>
      <c r="B246">
        <v>-2.497928E-3</v>
      </c>
      <c r="C246">
        <v>4.0451400000000002E-4</v>
      </c>
      <c r="D246">
        <v>2.3821430000000002E-3</v>
      </c>
      <c r="E246">
        <v>3.4439760000000001E-3</v>
      </c>
      <c r="F246">
        <v>-4.6193200000000002E-4</v>
      </c>
      <c r="G246">
        <v>0</v>
      </c>
      <c r="H246">
        <v>1.2122826E-2</v>
      </c>
      <c r="I246">
        <v>1.6853199999999999E-4</v>
      </c>
      <c r="J246">
        <v>1.3448053999999999E-2</v>
      </c>
      <c r="K246">
        <v>4.0451400000000002E-4</v>
      </c>
      <c r="L246">
        <f t="shared" si="15"/>
        <v>1.0928732384625002E-2</v>
      </c>
      <c r="M246">
        <f t="shared" si="16"/>
        <v>4.8335338154712904E-3</v>
      </c>
      <c r="N246">
        <f t="shared" si="17"/>
        <v>1.0574684259544085E-2</v>
      </c>
      <c r="O246">
        <f t="shared" si="18"/>
        <v>7.2151808145397784E-3</v>
      </c>
      <c r="P246">
        <f t="shared" si="19"/>
        <v>1.0817824642190147E-2</v>
      </c>
    </row>
    <row r="247" spans="1:16" x14ac:dyDescent="0.25">
      <c r="A247" s="2">
        <v>40589</v>
      </c>
      <c r="B247">
        <v>3.6063760000000001E-3</v>
      </c>
      <c r="C247">
        <v>8.9272199999999998E-4</v>
      </c>
      <c r="D247">
        <v>-3.2402020000000002E-3</v>
      </c>
      <c r="E247">
        <v>4.60915E-4</v>
      </c>
      <c r="F247">
        <v>-3.8025369999999999E-3</v>
      </c>
      <c r="G247">
        <v>1.9681260000000002E-3</v>
      </c>
      <c r="H247">
        <v>-3.2656410000000001E-3</v>
      </c>
      <c r="I247">
        <v>-5.4987999999999999E-4</v>
      </c>
      <c r="J247">
        <v>-1.4304470000000001E-3</v>
      </c>
      <c r="K247">
        <v>8.9272199999999998E-4</v>
      </c>
      <c r="L247">
        <f t="shared" si="15"/>
        <v>1.4607737814374877E-3</v>
      </c>
      <c r="M247">
        <f t="shared" si="16"/>
        <v>1.4026508596183555E-3</v>
      </c>
      <c r="N247">
        <f t="shared" si="17"/>
        <v>1.6320895913370537E-4</v>
      </c>
      <c r="O247">
        <f t="shared" si="18"/>
        <v>4.4080861359199731E-4</v>
      </c>
      <c r="P247">
        <f t="shared" si="19"/>
        <v>9.0479862278947977E-6</v>
      </c>
    </row>
    <row r="248" spans="1:16" x14ac:dyDescent="0.25">
      <c r="A248" s="2">
        <v>40590</v>
      </c>
      <c r="B248">
        <v>8.5990560000000008E-3</v>
      </c>
      <c r="C248">
        <v>1.3399898E-2</v>
      </c>
      <c r="D248">
        <v>6.2379860000000001E-3</v>
      </c>
      <c r="E248">
        <v>1.925162E-3</v>
      </c>
      <c r="F248">
        <v>7.9522629999999993E-3</v>
      </c>
      <c r="G248">
        <v>5.7174929999999997E-3</v>
      </c>
      <c r="H248">
        <v>1.8370790000000001E-2</v>
      </c>
      <c r="I248">
        <v>6.9746089999999997E-3</v>
      </c>
      <c r="J248">
        <v>3.038986E-3</v>
      </c>
      <c r="K248">
        <v>1.3399898E-2</v>
      </c>
      <c r="L248">
        <f t="shared" si="15"/>
        <v>4.1705742158338922E-3</v>
      </c>
      <c r="M248">
        <f t="shared" si="16"/>
        <v>6.1675350629923839E-3</v>
      </c>
      <c r="N248">
        <f t="shared" si="17"/>
        <v>6.6044607412600468E-3</v>
      </c>
      <c r="O248">
        <f t="shared" si="18"/>
        <v>7.5286687349386599E-3</v>
      </c>
      <c r="P248">
        <f t="shared" si="19"/>
        <v>4.5042809169672871E-3</v>
      </c>
    </row>
    <row r="249" spans="1:16" x14ac:dyDescent="0.25">
      <c r="A249" s="2">
        <v>40591</v>
      </c>
      <c r="B249">
        <v>9.3103089999999993E-3</v>
      </c>
      <c r="C249">
        <v>1.5977202999999999E-2</v>
      </c>
      <c r="D249">
        <v>3.0708910000000001E-3</v>
      </c>
      <c r="E249">
        <v>-1.18625E-3</v>
      </c>
      <c r="F249">
        <v>3.4503399999999998E-4</v>
      </c>
      <c r="G249">
        <v>2.6195530000000002E-3</v>
      </c>
      <c r="H249">
        <v>1.685693E-3</v>
      </c>
      <c r="I249">
        <v>-5.8051499999999998E-4</v>
      </c>
      <c r="J249">
        <v>1.0385850000000001E-3</v>
      </c>
      <c r="K249">
        <v>1.5977202999999999E-2</v>
      </c>
      <c r="L249">
        <f t="shared" si="15"/>
        <v>1.6693384478839075E-3</v>
      </c>
      <c r="M249">
        <f t="shared" si="16"/>
        <v>2.6369848792350968E-3</v>
      </c>
      <c r="N249">
        <f t="shared" si="17"/>
        <v>1.7614007727004425E-3</v>
      </c>
      <c r="O249">
        <f t="shared" si="18"/>
        <v>2.2638069839525728E-3</v>
      </c>
      <c r="P249">
        <f t="shared" si="19"/>
        <v>2.0207010369995954E-3</v>
      </c>
    </row>
    <row r="250" spans="1:16" x14ac:dyDescent="0.25">
      <c r="A250" s="2">
        <v>40592</v>
      </c>
      <c r="B250">
        <v>1.9096900000000001E-4</v>
      </c>
      <c r="C250">
        <v>-1.652602E-3</v>
      </c>
      <c r="D250">
        <v>1.9229060000000001E-3</v>
      </c>
      <c r="E250">
        <v>2.872108E-3</v>
      </c>
      <c r="F250">
        <v>-7.2306599999999996E-4</v>
      </c>
      <c r="G250">
        <v>5.6828E-4</v>
      </c>
      <c r="H250">
        <v>5.6279249999999998E-3</v>
      </c>
      <c r="I250">
        <v>5.7157400000000004E-4</v>
      </c>
      <c r="J250">
        <v>6.9378729999999998E-3</v>
      </c>
      <c r="K250">
        <v>-1.652602E-3</v>
      </c>
      <c r="L250">
        <f t="shared" si="15"/>
        <v>7.1831714741891102E-3</v>
      </c>
      <c r="M250">
        <f t="shared" si="16"/>
        <v>3.7082314833537409E-3</v>
      </c>
      <c r="N250">
        <f t="shared" si="17"/>
        <v>6.3919257280688835E-3</v>
      </c>
      <c r="O250">
        <f t="shared" si="18"/>
        <v>4.8226123983903385E-3</v>
      </c>
      <c r="P250">
        <f t="shared" si="19"/>
        <v>6.6957952935773613E-3</v>
      </c>
    </row>
    <row r="251" spans="1:16" x14ac:dyDescent="0.25">
      <c r="A251" s="2">
        <v>40595</v>
      </c>
      <c r="B251">
        <v>-1.3069043000000001E-2</v>
      </c>
      <c r="C251">
        <v>-1.3705988000000001E-2</v>
      </c>
      <c r="D251">
        <v>-2.0742152999999999E-2</v>
      </c>
      <c r="E251">
        <v>-1.4238861E-2</v>
      </c>
      <c r="F251">
        <v>-1.1274897000000001E-2</v>
      </c>
      <c r="G251">
        <v>1.3575830000000001E-3</v>
      </c>
      <c r="H251">
        <v>-1.1941676E-2</v>
      </c>
      <c r="I251">
        <v>-1.2615329E-2</v>
      </c>
      <c r="J251">
        <v>-9.5773600000000005E-4</v>
      </c>
      <c r="K251">
        <v>-1.3705988000000001E-2</v>
      </c>
      <c r="L251">
        <f t="shared" si="15"/>
        <v>-6.9197305670126337E-3</v>
      </c>
      <c r="M251">
        <f t="shared" si="16"/>
        <v>-3.7267225595661968E-3</v>
      </c>
      <c r="N251">
        <f t="shared" si="17"/>
        <v>-5.9136343737300791E-3</v>
      </c>
      <c r="O251">
        <f t="shared" si="18"/>
        <v>-7.6194959770113707E-3</v>
      </c>
      <c r="P251">
        <f t="shared" si="19"/>
        <v>-6.3842084777405821E-3</v>
      </c>
    </row>
    <row r="252" spans="1:16" x14ac:dyDescent="0.25">
      <c r="A252" s="2">
        <v>40596</v>
      </c>
      <c r="B252">
        <v>-7.2463240000000002E-3</v>
      </c>
      <c r="C252">
        <v>-1.944185E-2</v>
      </c>
      <c r="D252">
        <v>0</v>
      </c>
      <c r="E252">
        <v>-4.7267199999999999E-4</v>
      </c>
      <c r="F252">
        <v>-2.9971049999999999E-3</v>
      </c>
      <c r="G252">
        <v>-1.7919626000000001E-2</v>
      </c>
      <c r="H252">
        <v>-1.2251554E-2</v>
      </c>
      <c r="I252">
        <v>-5.4648939999999997E-3</v>
      </c>
      <c r="J252">
        <v>-1.4296931000000001E-2</v>
      </c>
      <c r="K252">
        <v>-1.944185E-2</v>
      </c>
      <c r="L252">
        <f t="shared" si="15"/>
        <v>-1.5248768431913614E-2</v>
      </c>
      <c r="M252">
        <f t="shared" si="16"/>
        <v>-2.346814202527732E-3</v>
      </c>
      <c r="N252">
        <f t="shared" si="17"/>
        <v>-1.3594034813758146E-2</v>
      </c>
      <c r="O252">
        <f t="shared" si="18"/>
        <v>-9.3624741225965639E-3</v>
      </c>
      <c r="P252">
        <f t="shared" si="19"/>
        <v>-1.4034448577019911E-2</v>
      </c>
    </row>
  </sheetData>
  <mergeCells count="1">
    <mergeCell ref="D1:J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Gráficos</vt:lpstr>
      </vt:variant>
      <vt:variant>
        <vt:i4>5</vt:i4>
      </vt:variant>
    </vt:vector>
  </HeadingPairs>
  <TitlesOfParts>
    <vt:vector size="7" baseType="lpstr">
      <vt:lpstr>entrenamiento</vt:lpstr>
      <vt:lpstr>prueba</vt:lpstr>
      <vt:lpstr>simple</vt:lpstr>
      <vt:lpstr>ridge</vt:lpstr>
      <vt:lpstr>lasso</vt:lpstr>
      <vt:lpstr>elastic-net</vt:lpstr>
      <vt:lpstr>simple sin FTSE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2014-10-01T20:49:55Z</dcterms:modified>
</cp:coreProperties>
</file>